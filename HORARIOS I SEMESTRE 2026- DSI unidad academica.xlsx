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. PROGRAMA DE ESTUDIO DE DSI 2026\HORARIO  2026\I SEMESTRE 2026\HORARIO I SEMESTRE ACADEMICO 2026\"/>
    </mc:Choice>
  </mc:AlternateContent>
  <xr:revisionPtr revIDLastSave="0" documentId="13_ncr:1_{43D8C965-346F-4185-8E92-9054B7A4E59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 CICLO" sheetId="19" r:id="rId1"/>
    <sheet name="III CICLO" sheetId="20" r:id="rId2"/>
    <sheet name="V CICLO" sheetId="21" r:id="rId3"/>
    <sheet name="ANEXO 1" sheetId="26" r:id="rId4"/>
    <sheet name="ANEXO 2" sheetId="17" r:id="rId5"/>
  </sheets>
  <definedNames>
    <definedName name="_xlnm.Print_Area" localSheetId="4">'ANEXO 2'!$A$1:$G$42</definedName>
    <definedName name="_xlnm.Print_Area" localSheetId="0">'I CICLO'!$A$1:$F$15</definedName>
    <definedName name="_xlnm.Print_Area" localSheetId="1">'III CICLO'!$A$1:$F$15</definedName>
    <definedName name="_xlnm.Print_Area" localSheetId="2">'V CICLO'!$A$1:$F$15</definedName>
  </definedNames>
  <calcPr calcId="191029"/>
</workbook>
</file>

<file path=xl/calcChain.xml><?xml version="1.0" encoding="utf-8"?>
<calcChain xmlns="http://schemas.openxmlformats.org/spreadsheetml/2006/main">
  <c r="F20" i="26" l="1"/>
  <c r="F6" i="26"/>
  <c r="F8" i="26"/>
  <c r="F12" i="26"/>
  <c r="F15" i="26"/>
  <c r="F23" i="26"/>
  <c r="B17" i="17" l="1"/>
  <c r="C17" i="17"/>
  <c r="D17" i="17"/>
  <c r="E17" i="17"/>
  <c r="F17" i="17"/>
  <c r="B31" i="17"/>
  <c r="C31" i="17"/>
  <c r="D31" i="17"/>
  <c r="E31" i="17"/>
  <c r="F31" i="17"/>
  <c r="B42" i="17"/>
  <c r="C42" i="17"/>
  <c r="D42" i="17"/>
  <c r="E42" i="17"/>
  <c r="F42" i="17"/>
</calcChain>
</file>

<file path=xl/sharedStrings.xml><?xml version="1.0" encoding="utf-8"?>
<sst xmlns="http://schemas.openxmlformats.org/spreadsheetml/2006/main" count="291" uniqueCount="150">
  <si>
    <t xml:space="preserve">                HORARIO DE CLASES </t>
  </si>
  <si>
    <t>HORA</t>
  </si>
  <si>
    <t>LUNES</t>
  </si>
  <si>
    <t>MARTES</t>
  </si>
  <si>
    <t>MIERCOLES</t>
  </si>
  <si>
    <t>JUEVES</t>
  </si>
  <si>
    <t>VIERNES</t>
  </si>
  <si>
    <t xml:space="preserve">15:00 - 15:45    </t>
  </si>
  <si>
    <t xml:space="preserve">15:45 - 16:30    </t>
  </si>
  <si>
    <t xml:space="preserve">16:30 - 17:15     </t>
  </si>
  <si>
    <t xml:space="preserve">17:15 - 18:00  </t>
  </si>
  <si>
    <t xml:space="preserve">18:00 - 18:20    </t>
  </si>
  <si>
    <t>R                E               F             R              I           G          E           R            I         O</t>
  </si>
  <si>
    <t xml:space="preserve">18:20 - 19:05    </t>
  </si>
  <si>
    <t>19:05 - 19:50</t>
  </si>
  <si>
    <t xml:space="preserve">                               FIRMA  Y SELLO DE COORDINADOR</t>
  </si>
  <si>
    <t>CICLO: I</t>
  </si>
  <si>
    <t>CICLO: III</t>
  </si>
  <si>
    <t>CICLO: V</t>
  </si>
  <si>
    <t xml:space="preserve">14:15 - 15:00    </t>
  </si>
  <si>
    <t xml:space="preserve">PROGRAMA DE ESTUDIOS:   DESARROLLO DE SISTEMAS DE INFORMACION              </t>
  </si>
  <si>
    <t>Experiencias Formativas en Siutaciones Reales de Trabajo es una Unidad Didactica extracurricular que los alumnos realizan en horaas que el laboratotio de computo no esta en uso.</t>
  </si>
  <si>
    <t>MODULO PROFESIONAL N° 03: EMPRENDIMIENTO DE PROYECTOS INFORMÁTICOS Y APLICACIONES MÓVILES PLAN:  2021</t>
  </si>
  <si>
    <t>III</t>
  </si>
  <si>
    <t>Inglés para la Comunicación Oral</t>
  </si>
  <si>
    <t>Programación Concurrente</t>
  </si>
  <si>
    <t>Modelamiento de Software</t>
  </si>
  <si>
    <t>V</t>
  </si>
  <si>
    <t xml:space="preserve">Comportamiento ético
</t>
  </si>
  <si>
    <t>Diseño Web</t>
  </si>
  <si>
    <t>Programación Orientada a Objetos</t>
  </si>
  <si>
    <t>P.T CI JOHN SABOYA FULCA
110111C171H5</t>
  </si>
  <si>
    <t>Animación Gráfica</t>
  </si>
  <si>
    <t>Innovación Tecnológica</t>
  </si>
  <si>
    <t>I</t>
  </si>
  <si>
    <t>Ofimática</t>
  </si>
  <si>
    <t>Ing. RENATO HENYER TARAZONA FLORES
110111C161H6</t>
  </si>
  <si>
    <t>Diseño de Aplicaciones Móviles</t>
  </si>
  <si>
    <t>Programación Distribuida</t>
  </si>
  <si>
    <t>Lenguaje de Programación</t>
  </si>
  <si>
    <t>Ing. CHRISTIAN DUSTIN PUYO TORRES
110111C171H9</t>
  </si>
  <si>
    <t>Gestión y Administración Web</t>
  </si>
  <si>
    <t>Arquitectura de Base de Datos</t>
  </si>
  <si>
    <t>Fundamentos de Programación</t>
  </si>
  <si>
    <t>Dr.GIL TORRES AREVALO
25EV1811003</t>
  </si>
  <si>
    <t xml:space="preserve">HORA SEMANAL TOTAL </t>
  </si>
  <si>
    <t>HORAS SEMANAL</t>
  </si>
  <si>
    <t>CICLO</t>
  </si>
  <si>
    <t>UNIDAD DIDACTICA</t>
  </si>
  <si>
    <t>DOCENTE/ COD. NEXUS</t>
  </si>
  <si>
    <t>Nº</t>
  </si>
  <si>
    <t>ANEXO Nº 01</t>
  </si>
  <si>
    <t>PROGRAMA DE ESTUDIOS DE DESARROLLO DE SISTEMAS DE INFORMACIÓN</t>
  </si>
  <si>
    <t xml:space="preserve">TOTAL </t>
  </si>
  <si>
    <t>P.T CI JOHN SABOYA FULCA</t>
  </si>
  <si>
    <t>Comportamiento Ético</t>
  </si>
  <si>
    <t>ING. CHRISTIAN DUSTIN PUYO TORRES</t>
  </si>
  <si>
    <t>ING. RENATO HENYER TARAZONA FLORES</t>
  </si>
  <si>
    <t>MTRO. RUBER TORRES AREVALO</t>
  </si>
  <si>
    <t>DOCENTE</t>
  </si>
  <si>
    <t>Cred.</t>
  </si>
  <si>
    <t>Total Semestral</t>
  </si>
  <si>
    <t>Total Semanal</t>
  </si>
  <si>
    <t>Hrs. Practicas</t>
  </si>
  <si>
    <t>Hrs. Teoricas</t>
  </si>
  <si>
    <t>MODULO PROFESIONAL N° 02: GESTION DE CALIDAD DE SOFTWARE E IMPLEMENT. DE SIST. INFORMAT.    PLAN:  2021</t>
  </si>
  <si>
    <t>Comunicación Oral</t>
  </si>
  <si>
    <t xml:space="preserve">CUADRO DE DISTRIBUCIÓN DE UNIDADES DIDACTICAS </t>
  </si>
  <si>
    <t>ANEXO Nº 02</t>
  </si>
  <si>
    <t xml:space="preserve">PERIODO LECTIVO : I- 2026                                 TURNO : NOCHE                     </t>
  </si>
  <si>
    <t>GESTION Y ADMNISTRACION WEB  (Pt. Ci. Ysaac Castro Ramirez)                           H.T.1 - H.P 0              Laboratorio de Computo Nª 4</t>
  </si>
  <si>
    <t>LENGUAJE DE PROGRAMACION                    (Ing. Christian Dustin Puyo Torres)                                     H.T.0 - H.P 1                     Laboratorio de Computo Nª 2</t>
  </si>
  <si>
    <t>MODULO PROFESIONAL N° 02: GESTION DE CALIDAD DE SOFTWARE E IMPLEMENT. DE SIST. INFORMAT.  PLAN: 2021</t>
  </si>
  <si>
    <t>MODULO PROFESIONAL N° 01: ARQUITECTURA DE COMPUTADORAS Y DESARROLLO DE SOFTWARE       PLAN:  2026</t>
  </si>
  <si>
    <t>Mtro. RUBER TORRES AREVALO 25EVE2415007</t>
  </si>
  <si>
    <t>Comunicación oral</t>
  </si>
  <si>
    <t xml:space="preserve">Ofimática </t>
  </si>
  <si>
    <t>Lenguaje de programación</t>
  </si>
  <si>
    <t>Planificación y Configuración de Redes</t>
  </si>
  <si>
    <t>Diagnostico y Mantenimiento lógico de PC.</t>
  </si>
  <si>
    <t>P.T. YSAAC CASTRO RAMIREZ
110111C171H8</t>
  </si>
  <si>
    <t>Fundamentos de inteligencia artificial</t>
  </si>
  <si>
    <t>CUADRO DE DISTRIBUCIÓN DE HORAS - I SEMESTRE ACADÉMICO 2026</t>
  </si>
  <si>
    <t>I SEMESTRE - 2026</t>
  </si>
  <si>
    <t>Diagnostico y Mantenimiento logico de PC</t>
  </si>
  <si>
    <t xml:space="preserve">Planificacion y Configuracion de Redes </t>
  </si>
  <si>
    <t>Fundamentos de Inteligencia Artificial</t>
  </si>
  <si>
    <t>P.T CI YSAAC CASTRO RAMIREZ</t>
  </si>
  <si>
    <t>DR. GIL TORRES AREVALO</t>
  </si>
  <si>
    <t>Dra. MARIA ELENA SOLSOL ACOSTA DE CHAVEZ</t>
  </si>
  <si>
    <r>
      <rPr>
        <b/>
        <sz val="11"/>
        <color theme="1"/>
        <rFont val="Arial"/>
        <family val="2"/>
      </rPr>
      <t>Dra. MARIA ELENA SOLSOL ACOSTA DE CHAVEZ</t>
    </r>
    <r>
      <rPr>
        <b/>
        <sz val="12"/>
        <color theme="1"/>
        <rFont val="Arial"/>
        <family val="2"/>
      </rPr>
      <t xml:space="preserve"> 110111C121H7</t>
    </r>
  </si>
  <si>
    <t xml:space="preserve">DIAGNOSTICO Y MANTENIMIENTO LOGICO DE PC
     (Pt. Ci. Ysaac Castro Ramirez)                                       H.T.1 - H.P 0              Laboratorio de Computo Nª 2 </t>
  </si>
  <si>
    <t>LENGUAJE DE PROGRAMACION
(Ing. Christian Dustin Puyo Torres)
H.T.1 - H.P 0                  Laboratorio de Computo Nª 2</t>
  </si>
  <si>
    <t>LENGUAJE DE PROGRAMACION
(Ing. Christian Dustin Puyo Torres)
 H.T.0 - H.P 1                 Laboratorio de Computo Nª 2</t>
  </si>
  <si>
    <t xml:space="preserve">DIAGNOSTICO Y MANTENIMIENTO LOGICO DE PC
(Pt. Ci. Ysaac Castro Ramirez)
H.T.1 - H.P 0              Laboratorio de Computo Nª 2 </t>
  </si>
  <si>
    <r>
      <rPr>
        <sz val="11"/>
        <color theme="1"/>
        <rFont val="Arial"/>
        <family val="2"/>
      </rPr>
      <t xml:space="preserve">FUNDAMENTOS DE INTELIGENCIA ARTIFICIAL
</t>
    </r>
    <r>
      <rPr>
        <sz val="10"/>
        <color theme="1"/>
        <rFont val="Arial"/>
        <family val="2"/>
      </rPr>
      <t>(Dr. Gil Torres Arevalo)
H.T.1 - H.P 0
 Laboratorio de Computo Nª 2</t>
    </r>
  </si>
  <si>
    <r>
      <rPr>
        <sz val="11"/>
        <color theme="1"/>
        <rFont val="Arial"/>
        <family val="2"/>
      </rPr>
      <t xml:space="preserve">FUNDAMENTOS DE INTELIGENCIA ARTIFICIAL
</t>
    </r>
    <r>
      <rPr>
        <sz val="10"/>
        <color theme="1"/>
        <rFont val="Arial"/>
        <family val="2"/>
      </rPr>
      <t>(Dr. Gil Torres Arevalo)
H.T.0 - H.P 1
Laboratorio de Computo Nª 2</t>
    </r>
  </si>
  <si>
    <r>
      <rPr>
        <sz val="11"/>
        <color theme="1"/>
        <rFont val="Arial"/>
        <family val="2"/>
      </rPr>
      <t xml:space="preserve">FUNDAMENTOS DE INTELIGENCIA ARTIFICIAL
 </t>
    </r>
    <r>
      <rPr>
        <sz val="10"/>
        <color theme="1"/>
        <rFont val="Arial"/>
        <family val="2"/>
      </rPr>
      <t>(Dr. Gil Torres Arevalo)
H.T.0 - H.P 1
Laboratorio de Computo Nª 2</t>
    </r>
  </si>
  <si>
    <t xml:space="preserve">FUNDAMENTOS DE PROGRAMACION
(Ing. Renato Henyer Tarazona Flores)
H.T.1 - H.P 0
 Laboratorio de Computo Nª 2 </t>
  </si>
  <si>
    <t>FUNDAMENTOS DE PROGRAMACION
(Ing. Renato Henyer Tarazona Flores)
H.T.0 - H.P 1
Laboratorio de Computo Nª 2</t>
  </si>
  <si>
    <t xml:space="preserve">PLANIFICACION Y CONFIGURACION DE REDES
(Pt. Ci. Ysaac Castro Ramirez)
 H.T.1 - H.P 0
Aula de uso Multiple </t>
  </si>
  <si>
    <t xml:space="preserve">DIAGNOSTICO Y MANTENIMIENTO LOGICO DE PC
(Pt. Ci. Ysaac Castro Ramirez)                                 H.T.0 - H.P 1                 Laboratorio de Computo Nª 2 </t>
  </si>
  <si>
    <t xml:space="preserve">DIAGNOSTICO Y MANTENIMIENTO LOGICO DE PC
 (Pt. Ci. Ysaac Castro Ramirez)                                 H.T.0 - H.P 1                 Laboratorio de Computo Nª 2 </t>
  </si>
  <si>
    <r>
      <t xml:space="preserve">EXPERIENCIAS FORMATIVAS
</t>
    </r>
    <r>
      <rPr>
        <b/>
        <sz val="11"/>
        <color theme="1"/>
        <rFont val="Arial"/>
        <family val="2"/>
      </rPr>
      <t xml:space="preserve">(INDUCCIÓN)
</t>
    </r>
    <r>
      <rPr>
        <sz val="10"/>
        <color theme="1"/>
        <rFont val="Arial"/>
        <family val="2"/>
      </rPr>
      <t>(Ing. Christian Dustin Puyo Torres)
H.T.1 - H.P 0
Laboratorio de Computo Nª 2</t>
    </r>
  </si>
  <si>
    <r>
      <t xml:space="preserve">EXPERIENCIAS FORMATIVAS  </t>
    </r>
    <r>
      <rPr>
        <b/>
        <sz val="11"/>
        <color theme="1"/>
        <rFont val="Arial"/>
        <family val="2"/>
      </rPr>
      <t xml:space="preserve">(INDUCCIÓN)
</t>
    </r>
    <r>
      <rPr>
        <sz val="10"/>
        <color theme="1"/>
        <rFont val="Arial"/>
        <family val="2"/>
      </rPr>
      <t xml:space="preserve"> (Ing. Christian Dustin Puyo Torres)
 H.T.0 - H.P 1
Laboratorio de Computo Nª 2</t>
    </r>
  </si>
  <si>
    <t xml:space="preserve">OFIMATICA
(Ing. Renato Henyer Tarazona Flores)
 H.T.1 - H.P 0
Laboratorio de Computo Nª 2 </t>
  </si>
  <si>
    <t xml:space="preserve">OFIMATICA
(Ing. Renato Henyer Tarazona Flores)
H.T.0 - H.P 1
 Laboratorio de Computo Nª 2 </t>
  </si>
  <si>
    <t xml:space="preserve">LENGUAJE DE PROGRAMACION
(Ing. Christian Dustin Puyo Torres)
H.T.0 - H.P 1                  Laboratorio de Computo Nª 2 </t>
  </si>
  <si>
    <t xml:space="preserve">DIAGNOSTICO Y MANTENIMIENTO LOGICO DE PC
(Pt. Ci. Ysaac Castro Ramirez)
H.T.0 - H.P 1
Laboratorio de Computo Nª 2 </t>
  </si>
  <si>
    <t xml:space="preserve">PLANIFICACION Y CONFIGURACION DE REDES
(Pt. Ci. Ysaac Castro Ramirez)
H.T.0 - H.P 1
Aula de uso Multiple </t>
  </si>
  <si>
    <t xml:space="preserve"> PROGRAMACION  DISTRIBUIDA
(Ing. Christian Dustin Puyo Torres)
H.T.1 - H.P0
Laboratorio de Computo Nª 1</t>
  </si>
  <si>
    <t xml:space="preserve"> PROGRAMACION  DISTRIBUIDA
(Ing. Christian Dustin Puyo Torres)
H.T.0 - H.P 1
Laboratorio de Computo Nª 1</t>
  </si>
  <si>
    <t>MODELAMIENTO DE SOFTWARE
(Ing. Renato Henyer Tarazona Flores)
H.T.1 - H.P 0
Laboratorio de Computo Nª 1</t>
  </si>
  <si>
    <t>MODELAMIENTO DE SOFTWARE
(Ing. Renato Henyer Tarazona Flores)
H.T.0 - H.P 1
Laboratorio de Computo Nª 1</t>
  </si>
  <si>
    <t xml:space="preserve">INGLES PARA LA COMUNICACIÓN ORAL
(Dra- Maria Elena Solsol Acosta de Chavez)
H.T.1 - H.P 0
Laboratorio de Computo Nª 1                      </t>
  </si>
  <si>
    <t xml:space="preserve">INGLES PARA LA COMUNICACIÓN ORAL
(Dra- Maria Elena Solsol Acosta de Chavez)
H.T.0 - H.P 1
Laboratorio de Computo Nª 1                     </t>
  </si>
  <si>
    <t xml:space="preserve">INGLES PARA LA COMUNICACIÓN ORAL
(Dra- Maria Elena Solsol Acosta de Chavez)
H.T.0 - H.P 1
Laboratorio de Computo Nª 1                   </t>
  </si>
  <si>
    <t>PROGRAMACION CONCURRENTE
(Mtro. Ruber Torres Arevalo)
H.T.1 - H.P0
Laboratorio de Computo Nª 1</t>
  </si>
  <si>
    <t>PROGRAMACION CONCURRENTE
(Mtro. Ruber Torres Arevalo)
H.T.0 - H.P 1
Laboratorio de Computo Nª 1</t>
  </si>
  <si>
    <t>PROGRAMACION ORIENTADA A OBJETOS
(PT C.I Jhon Saboya Fulca)
H.T.1 - H.P 0
Laboratorio de Computo Nª 1</t>
  </si>
  <si>
    <t>INNOVACION  TECNOLOGICA
(Pt. Ci. Ysaac Castro Ramirez)
H.T.1 - H.P 0
Laboratorio de Computo Nª 1</t>
  </si>
  <si>
    <t>INNOVACION  TECNOLOGICA
(Pt. Ci. Ysaac Castro Ramirez)
H.T.0 - H.P
Laboratorio de Computo Nª 1</t>
  </si>
  <si>
    <t>INNOVACION  TECNOLOGICA
(Pt. Ci. Ysaac Castro Ramirez)
H.T.0 - H.P 1
Laboratorio de Computo Nª 1</t>
  </si>
  <si>
    <r>
      <t xml:space="preserve">EXPERIENCIAS FORMATIVAS
</t>
    </r>
    <r>
      <rPr>
        <b/>
        <sz val="12"/>
        <color theme="1"/>
        <rFont val="Arial"/>
        <family val="2"/>
      </rPr>
      <t xml:space="preserve">(INDUCCIÓN)
</t>
    </r>
    <r>
      <rPr>
        <sz val="11"/>
        <color theme="1"/>
        <rFont val="Arial"/>
        <family val="2"/>
      </rPr>
      <t>(Dr. Gil Torres Arevalo)
H.T.1 - H.P 0
Laboratorio de Computo Nª 1</t>
    </r>
  </si>
  <si>
    <r>
      <t xml:space="preserve">EXPERIENCIAS FORMATIVAS
</t>
    </r>
    <r>
      <rPr>
        <b/>
        <sz val="12"/>
        <color theme="1"/>
        <rFont val="Arial"/>
        <family val="2"/>
      </rPr>
      <t xml:space="preserve">(INDUCCIÓN)
</t>
    </r>
    <r>
      <rPr>
        <sz val="11"/>
        <color theme="1"/>
        <rFont val="Arial"/>
        <family val="2"/>
      </rPr>
      <t>(Dr. Gil Torres Arevalo)
H.T.0 - H.P 1
Laboratorio de Computo Nª 1</t>
    </r>
  </si>
  <si>
    <t>PROGRAMACION CONCURRENTE
(Mtro. Ruber Torres Arevalo)
H.T.0 - H.P 1Laboratorio de Computo Nª 1</t>
  </si>
  <si>
    <t>PROGRAMACION ORIENTADA A OBJETOS
(PT C.I Jhon Saboya Fulca)
H.T.0 - H.P 1
Laboratorio de Computo Nª 1</t>
  </si>
  <si>
    <t xml:space="preserve">ANIMACION GRAFICA
(Ing. Renato Henyer Tarazona Flores)
H.T.1 - H.P 0
Laboratorio de Computo Nª 4 </t>
  </si>
  <si>
    <t>GESTION Y ADMNISTRACION WEB
(Pt. Ci. Ysaac Castro Ramirez)
H.T.0 - H.P 1
Laboratorio de Computo Nª 4</t>
  </si>
  <si>
    <t>DISEÑO WEB
(PT C.I Jhon Saboya Fulca)
H.T.1 - H.P 0
Laboratorio de Computo Nª 4</t>
  </si>
  <si>
    <t>DISEÑO WEB
(PT C.I Jhon Saboya Fulca)
H.T.0 - H.P 1
Laboratorio de Computo Nª 4</t>
  </si>
  <si>
    <t xml:space="preserve">COMPORTAMIENTO ETICO
(PT C.I Jhon Saboya Fulca)
H.T.1 - H.P 0 
Laboratorio de Computo Nª 4
</t>
  </si>
  <si>
    <t xml:space="preserve">COMPORTAMIENTO ETICO
(PT C.I Jhon Saboya Fulca)
H.T.0 - H.P 1
Laboratorio de Computo Nª 4
</t>
  </si>
  <si>
    <t xml:space="preserve">COMPORTAMIENTO ETICO
(PT C.I Jhon Saboya Fulca)
H.T.0 - H.P 1
Laboratorio de Computo Nª 4 
</t>
  </si>
  <si>
    <t xml:space="preserve"> DISEÑO DE APLICACIONES MOVILES
(Ing. Christian Dustin Puyo Torres)
H.T.1 - H.P 0
Laboratorio de Computo Nª 4</t>
  </si>
  <si>
    <t xml:space="preserve"> DISEÑO DE APLICACIONES MOVILES
(Ing. Christian Dustin Puyo Torres)
H.T.0 - H.P 1
Laboratorio de Computo Nª 4</t>
  </si>
  <si>
    <t>ANIMACION GRAFICA
Ing. Renato Henyer Tarazona Flores)
H.T.0 - H.P 1
Laboratorio de Computo Nª 4</t>
  </si>
  <si>
    <t>ANIMACION GRAFICA
(Ing. Renato Henyer Tarazona Flores)
H.T.0 - H.P 1
Laboratorio de Computo Nª 4</t>
  </si>
  <si>
    <r>
      <t xml:space="preserve">EXPERIENCIAS FORMATIVAS
</t>
    </r>
    <r>
      <rPr>
        <b/>
        <sz val="11"/>
        <color theme="1"/>
        <rFont val="Arial"/>
        <family val="2"/>
      </rPr>
      <t xml:space="preserve">(INDUCCIÓN)
</t>
    </r>
    <r>
      <rPr>
        <sz val="10"/>
        <color theme="1"/>
        <rFont val="Arial"/>
        <family val="2"/>
      </rPr>
      <t>(Dr. Gil Torres Arevalo)
H.T.1 - H.P 0
Laboratorio de Computo Nª 4</t>
    </r>
  </si>
  <si>
    <r>
      <t xml:space="preserve">EXPERIENCIAS FORMATIVAS
</t>
    </r>
    <r>
      <rPr>
        <b/>
        <sz val="11"/>
        <color theme="1"/>
        <rFont val="Arial"/>
        <family val="2"/>
      </rPr>
      <t xml:space="preserve">(INDUCCIÓN)
</t>
    </r>
    <r>
      <rPr>
        <sz val="10"/>
        <color theme="1"/>
        <rFont val="Arial"/>
        <family val="2"/>
      </rPr>
      <t>(Dr. Gil Torres Arevalo)
H.T.0 - H.P 1
Laboratorio de Computo Nª 4</t>
    </r>
  </si>
  <si>
    <t xml:space="preserve">ANIMACION GRAFICA
(Ing. Renato Henyer Tarazona Flores)
H.T.0 - H.P 1
Laboratorio de Computo Nª 4 </t>
  </si>
  <si>
    <t>COMUNICACIÓN ORAL
(Dr. Gil Torres Arevalo)                      H.T.1 - H.P 0
Laboratorio de Computo Nª 2</t>
  </si>
  <si>
    <t>COMUNICACIÓN ORAL
(Dr. Gil Torres Arevalo)
T.0 - H.P 1                            Laboratorio de Computo Nª 2</t>
  </si>
  <si>
    <t>COMUNICACIÓN ORAL 
(Dr. Gil Torres Arevalo)
T.0 - H.P 1                            Laboratorio de Computo Nª 2</t>
  </si>
  <si>
    <t>PROGRAMACION ORIENTADA A OBJETOS
(PT C.I Jhon Saboya Fulca)H.T.0 - H.P 1
Laboratorio de Computo Nª 1</t>
  </si>
  <si>
    <t xml:space="preserve"> DISEÑO DE APLICACIONES MOVILES
(Ing. Christian Dustin Puyo Torres)
H.T.0 - H.P 1
Aula de uso Multiple</t>
  </si>
  <si>
    <t>COMPORTAMIENTO ETICO
(PT C.I Jhon Saboya Fulca)
H.T.0 - H.P 1
Aula de uso Multiple</t>
  </si>
  <si>
    <t xml:space="preserve">COMPORTAMIENTO ETICO
(PT C.I Jhon Saboya Fulca)
H.T.0 - H.P 1
Aula de uso Multiple
</t>
  </si>
  <si>
    <t xml:space="preserve"> ARQUITECTURA DE BASE DE DATOS
(Ing. Renato Henyer Tarazona Flores)
H.T.1 - H.P 0
Laboratorio de Computo Nª 1 </t>
  </si>
  <si>
    <t xml:space="preserve"> ARQUITECTURA DE BASE DE DATOS
(Ing. Renato Henyer Tarazona Flores)
H.T.0 - H.P 1
Laboratorio de Computo Nª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</si>
</sst>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548DD4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 tint="-0.34998626667073579"/>
      <name val="Arial"/>
      <family val="2"/>
    </font>
    <font>
      <sz val="11"/>
      <color theme="0" tint="-0.3499862666707357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3.5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Times New Roman"/>
      <family val="1"/>
    </font>
    <font>
      <sz val="16"/>
      <color theme="1"/>
      <name val="Arial"/>
      <family val="2"/>
    </font>
    <font>
      <b/>
      <sz val="18"/>
      <color theme="1"/>
      <name val="Arial"/>
      <family val="2"/>
    </font>
    <font>
      <b/>
      <u/>
      <sz val="16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17"/>
      <color theme="1"/>
      <name val="Arial"/>
      <family val="2"/>
    </font>
    <font>
      <sz val="16"/>
      <color theme="1"/>
      <name val="Arial Narrow"/>
      <family val="2"/>
    </font>
    <font>
      <sz val="14"/>
      <color theme="1"/>
      <name val="Arial Narrow"/>
      <family val="2"/>
    </font>
    <font>
      <sz val="14"/>
      <color theme="1"/>
      <name val="Arial"/>
      <family val="2"/>
    </font>
    <font>
      <sz val="9"/>
      <color theme="1"/>
      <name val="Arial"/>
      <family val="2"/>
    </font>
    <font>
      <b/>
      <sz val="14"/>
      <color theme="1"/>
      <name val="Calibri"/>
      <family val="2"/>
      <scheme val="minor"/>
    </font>
    <font>
      <sz val="16"/>
      <name val="Arial"/>
      <family val="2"/>
    </font>
    <font>
      <b/>
      <sz val="13.6"/>
      <color theme="1"/>
      <name val="Arial"/>
      <family val="2"/>
    </font>
    <font>
      <sz val="13.6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07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2" borderId="0" xfId="0" applyFill="1"/>
    <xf numFmtId="0" fontId="2" fillId="2" borderId="0" xfId="0" applyFont="1" applyFill="1"/>
    <xf numFmtId="0" fontId="7" fillId="3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0" xfId="0" applyFont="1"/>
    <xf numFmtId="0" fontId="4" fillId="0" borderId="3" xfId="0" applyFont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2" borderId="0" xfId="0" applyFont="1" applyFill="1"/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3" fillId="5" borderId="5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2" borderId="0" xfId="0" applyFont="1" applyFill="1" applyAlignment="1">
      <alignment horizontal="center" vertical="center"/>
    </xf>
    <xf numFmtId="0" fontId="21" fillId="6" borderId="14" xfId="0" applyFont="1" applyFill="1" applyBorder="1" applyAlignment="1">
      <alignment horizontal="center" vertical="center"/>
    </xf>
    <xf numFmtId="0" fontId="21" fillId="6" borderId="14" xfId="0" applyFont="1" applyFill="1" applyBorder="1" applyAlignment="1">
      <alignment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vertical="center"/>
    </xf>
    <xf numFmtId="0" fontId="2" fillId="7" borderId="26" xfId="0" applyFont="1" applyFill="1" applyBorder="1" applyAlignment="1">
      <alignment horizontal="center" vertical="center" wrapText="1"/>
    </xf>
    <xf numFmtId="0" fontId="2" fillId="7" borderId="27" xfId="0" applyFont="1" applyFill="1" applyBorder="1" applyAlignment="1">
      <alignment horizontal="center" vertical="center" wrapText="1"/>
    </xf>
    <xf numFmtId="0" fontId="2" fillId="7" borderId="27" xfId="0" applyFont="1" applyFill="1" applyBorder="1" applyAlignment="1">
      <alignment horizontal="center" vertical="center"/>
    </xf>
    <xf numFmtId="0" fontId="2" fillId="7" borderId="28" xfId="0" applyFont="1" applyFill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0" xfId="0" applyFont="1"/>
    <xf numFmtId="0" fontId="24" fillId="0" borderId="0" xfId="0" applyFont="1"/>
    <xf numFmtId="0" fontId="4" fillId="0" borderId="0" xfId="0" applyFont="1" applyAlignment="1">
      <alignment horizontal="right"/>
    </xf>
    <xf numFmtId="0" fontId="18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6" fillId="0" borderId="1" xfId="0" applyFont="1" applyBorder="1" applyAlignment="1">
      <alignment horizontal="left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/>
    </xf>
    <xf numFmtId="0" fontId="21" fillId="9" borderId="1" xfId="0" applyFont="1" applyFill="1" applyBorder="1" applyAlignment="1">
      <alignment vertical="center"/>
    </xf>
    <xf numFmtId="0" fontId="26" fillId="0" borderId="4" xfId="0" applyFont="1" applyBorder="1" applyAlignment="1">
      <alignment horizontal="left" vertical="center" wrapText="1"/>
    </xf>
    <xf numFmtId="0" fontId="21" fillId="8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left" vertical="center" wrapText="1"/>
    </xf>
    <xf numFmtId="0" fontId="28" fillId="8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horizontal="center" vertical="center" wrapText="1"/>
    </xf>
    <xf numFmtId="0" fontId="28" fillId="9" borderId="1" xfId="0" applyFont="1" applyFill="1" applyBorder="1" applyAlignment="1">
      <alignment vertical="center"/>
    </xf>
    <xf numFmtId="0" fontId="4" fillId="7" borderId="19" xfId="0" applyFont="1" applyFill="1" applyBorder="1" applyAlignment="1">
      <alignment horizontal="center" vertical="center"/>
    </xf>
    <xf numFmtId="0" fontId="29" fillId="7" borderId="1" xfId="0" applyFont="1" applyFill="1" applyBorder="1" applyAlignment="1">
      <alignment horizontal="center" vertical="center"/>
    </xf>
    <xf numFmtId="0" fontId="29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left" vertical="center" wrapText="1"/>
    </xf>
    <xf numFmtId="0" fontId="21" fillId="8" borderId="9" xfId="0" applyFont="1" applyFill="1" applyBorder="1" applyAlignment="1">
      <alignment horizontal="center"/>
    </xf>
    <xf numFmtId="0" fontId="21" fillId="9" borderId="1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center" vertical="center"/>
    </xf>
    <xf numFmtId="0" fontId="30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21" fillId="8" borderId="4" xfId="0" applyFont="1" applyFill="1" applyBorder="1" applyAlignment="1">
      <alignment horizontal="center"/>
    </xf>
    <xf numFmtId="0" fontId="31" fillId="9" borderId="1" xfId="0" applyFont="1" applyFill="1" applyBorder="1" applyAlignment="1" applyProtection="1">
      <alignment horizontal="left" vertical="center" wrapText="1"/>
      <protection locked="0"/>
    </xf>
    <xf numFmtId="0" fontId="21" fillId="9" borderId="1" xfId="0" applyFont="1" applyFill="1" applyBorder="1" applyAlignment="1" applyProtection="1">
      <alignment horizontal="left" vertical="center" wrapText="1"/>
      <protection locked="0"/>
    </xf>
    <xf numFmtId="0" fontId="28" fillId="9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8" fillId="8" borderId="9" xfId="0" applyFont="1" applyFill="1" applyBorder="1" applyAlignment="1">
      <alignment horizontal="center"/>
    </xf>
    <xf numFmtId="0" fontId="28" fillId="8" borderId="4" xfId="0" applyFont="1" applyFill="1" applyBorder="1" applyAlignment="1">
      <alignment horizontal="center"/>
    </xf>
    <xf numFmtId="0" fontId="28" fillId="9" borderId="1" xfId="0" applyFont="1" applyFill="1" applyBorder="1" applyAlignment="1" applyProtection="1">
      <alignment horizontal="left" vertical="center" wrapText="1"/>
      <protection locked="0"/>
    </xf>
    <xf numFmtId="0" fontId="28" fillId="7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3" fillId="4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11" borderId="9" xfId="0" applyFont="1" applyFill="1" applyBorder="1" applyAlignment="1">
      <alignment horizontal="center" vertical="center" wrapText="1"/>
    </xf>
    <xf numFmtId="0" fontId="10" fillId="11" borderId="7" xfId="0" applyFont="1" applyFill="1" applyBorder="1" applyAlignment="1">
      <alignment horizontal="center" vertical="center" wrapText="1"/>
    </xf>
    <xf numFmtId="0" fontId="3" fillId="12" borderId="7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3" fillId="12" borderId="2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4" borderId="3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0" fillId="0" borderId="1" xfId="0" applyBorder="1"/>
    <xf numFmtId="0" fontId="3" fillId="10" borderId="9" xfId="0" applyFont="1" applyFill="1" applyBorder="1" applyAlignment="1">
      <alignment horizontal="center" vertical="center" wrapText="1"/>
    </xf>
    <xf numFmtId="0" fontId="5" fillId="15" borderId="18" xfId="0" applyFont="1" applyFill="1" applyBorder="1" applyAlignment="1">
      <alignment horizontal="center" vertical="center"/>
    </xf>
    <xf numFmtId="0" fontId="21" fillId="15" borderId="17" xfId="0" applyFont="1" applyFill="1" applyBorder="1" applyAlignment="1">
      <alignment horizontal="center" vertical="center" wrapText="1"/>
    </xf>
    <xf numFmtId="0" fontId="21" fillId="15" borderId="17" xfId="0" applyFont="1" applyFill="1" applyBorder="1" applyAlignment="1">
      <alignment horizontal="center" vertical="center"/>
    </xf>
    <xf numFmtId="0" fontId="21" fillId="15" borderId="17" xfId="0" applyFont="1" applyFill="1" applyBorder="1" applyAlignment="1">
      <alignment horizontal="left" vertical="center" wrapText="1"/>
    </xf>
    <xf numFmtId="0" fontId="2" fillId="15" borderId="17" xfId="0" applyFont="1" applyFill="1" applyBorder="1" applyAlignment="1">
      <alignment horizontal="left" vertical="center" wrapText="1"/>
    </xf>
    <xf numFmtId="0" fontId="18" fillId="15" borderId="16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vertical="center"/>
    </xf>
    <xf numFmtId="0" fontId="18" fillId="2" borderId="27" xfId="0" applyFont="1" applyFill="1" applyBorder="1" applyAlignment="1">
      <alignment horizontal="left" vertical="center" wrapText="1"/>
    </xf>
    <xf numFmtId="0" fontId="18" fillId="2" borderId="28" xfId="0" applyFont="1" applyFill="1" applyBorder="1" applyAlignment="1">
      <alignment horizontal="center" vertical="center"/>
    </xf>
    <xf numFmtId="0" fontId="21" fillId="16" borderId="1" xfId="0" applyFont="1" applyFill="1" applyBorder="1" applyAlignment="1">
      <alignment horizontal="center" vertical="center" wrapText="1"/>
    </xf>
    <xf numFmtId="0" fontId="21" fillId="16" borderId="1" xfId="0" applyFont="1" applyFill="1" applyBorder="1" applyAlignment="1">
      <alignment horizontal="center" vertical="center"/>
    </xf>
    <xf numFmtId="0" fontId="21" fillId="16" borderId="1" xfId="0" applyFont="1" applyFill="1" applyBorder="1" applyAlignment="1">
      <alignment horizontal="left" vertical="top" wrapText="1"/>
    </xf>
    <xf numFmtId="0" fontId="21" fillId="16" borderId="23" xfId="0" applyFont="1" applyFill="1" applyBorder="1" applyAlignment="1">
      <alignment horizontal="center" vertical="center"/>
    </xf>
    <xf numFmtId="0" fontId="21" fillId="16" borderId="23" xfId="0" applyFont="1" applyFill="1" applyBorder="1" applyAlignment="1">
      <alignment vertical="center"/>
    </xf>
    <xf numFmtId="0" fontId="21" fillId="16" borderId="1" xfId="0" applyFont="1" applyFill="1" applyBorder="1" applyAlignment="1">
      <alignment vertical="center"/>
    </xf>
    <xf numFmtId="0" fontId="21" fillId="6" borderId="1" xfId="0" applyFont="1" applyFill="1" applyBorder="1"/>
    <xf numFmtId="0" fontId="21" fillId="6" borderId="5" xfId="0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/>
    </xf>
    <xf numFmtId="0" fontId="21" fillId="6" borderId="5" xfId="0" applyFont="1" applyFill="1" applyBorder="1" applyAlignment="1">
      <alignment vertical="center"/>
    </xf>
    <xf numFmtId="0" fontId="21" fillId="11" borderId="3" xfId="0" applyFont="1" applyFill="1" applyBorder="1" applyAlignment="1">
      <alignment horizontal="center" vertical="center"/>
    </xf>
    <xf numFmtId="0" fontId="21" fillId="11" borderId="3" xfId="0" applyFont="1" applyFill="1" applyBorder="1" applyAlignment="1">
      <alignment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vertical="center"/>
    </xf>
    <xf numFmtId="0" fontId="21" fillId="11" borderId="23" xfId="0" applyFont="1" applyFill="1" applyBorder="1" applyAlignment="1">
      <alignment horizontal="center" vertical="center"/>
    </xf>
    <xf numFmtId="0" fontId="21" fillId="11" borderId="0" xfId="0" applyFont="1" applyFill="1"/>
    <xf numFmtId="0" fontId="21" fillId="4" borderId="14" xfId="0" applyFont="1" applyFill="1" applyBorder="1" applyAlignment="1">
      <alignment horizontal="center" vertical="center"/>
    </xf>
    <xf numFmtId="0" fontId="21" fillId="4" borderId="14" xfId="0" applyFont="1" applyFill="1" applyBorder="1" applyAlignment="1">
      <alignment vertical="center"/>
    </xf>
    <xf numFmtId="0" fontId="21" fillId="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vertical="center"/>
    </xf>
    <xf numFmtId="0" fontId="21" fillId="4" borderId="1" xfId="0" applyFont="1" applyFill="1" applyBorder="1"/>
    <xf numFmtId="0" fontId="21" fillId="17" borderId="23" xfId="0" applyFont="1" applyFill="1" applyBorder="1" applyAlignment="1">
      <alignment horizontal="center" vertical="center"/>
    </xf>
    <xf numFmtId="0" fontId="21" fillId="4" borderId="23" xfId="0" applyFont="1" applyFill="1" applyBorder="1" applyAlignment="1">
      <alignment horizontal="center"/>
    </xf>
    <xf numFmtId="0" fontId="21" fillId="4" borderId="23" xfId="0" applyFont="1" applyFill="1" applyBorder="1" applyAlignment="1">
      <alignment horizontal="center" vertical="center"/>
    </xf>
    <xf numFmtId="0" fontId="21" fillId="4" borderId="23" xfId="0" applyFont="1" applyFill="1" applyBorder="1"/>
    <xf numFmtId="0" fontId="21" fillId="17" borderId="23" xfId="0" applyFont="1" applyFill="1" applyBorder="1" applyAlignment="1">
      <alignment horizontal="center" vertical="center" wrapText="1"/>
    </xf>
    <xf numFmtId="0" fontId="21" fillId="17" borderId="1" xfId="0" applyFont="1" applyFill="1" applyBorder="1"/>
    <xf numFmtId="0" fontId="21" fillId="17" borderId="5" xfId="0" applyFont="1" applyFill="1" applyBorder="1" applyAlignment="1">
      <alignment horizontal="center" vertical="center"/>
    </xf>
    <xf numFmtId="0" fontId="21" fillId="17" borderId="5" xfId="0" applyFont="1" applyFill="1" applyBorder="1"/>
    <xf numFmtId="0" fontId="32" fillId="0" borderId="0" xfId="0" applyFont="1"/>
    <xf numFmtId="0" fontId="33" fillId="0" borderId="0" xfId="0" applyFont="1"/>
    <xf numFmtId="0" fontId="3" fillId="0" borderId="1" xfId="0" applyFont="1" applyBorder="1" applyAlignment="1">
      <alignment horizontal="center" vertical="center"/>
    </xf>
    <xf numFmtId="0" fontId="3" fillId="12" borderId="2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11" borderId="2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" fillId="17" borderId="11" xfId="0" applyFont="1" applyFill="1" applyBorder="1" applyAlignment="1">
      <alignment horizontal="center" vertical="center"/>
    </xf>
    <xf numFmtId="0" fontId="2" fillId="17" borderId="22" xfId="0" applyFont="1" applyFill="1" applyBorder="1" applyAlignment="1">
      <alignment horizontal="center" vertical="center"/>
    </xf>
    <xf numFmtId="0" fontId="18" fillId="17" borderId="5" xfId="0" applyFont="1" applyFill="1" applyBorder="1" applyAlignment="1">
      <alignment vertical="center" wrapText="1"/>
    </xf>
    <xf numFmtId="0" fontId="18" fillId="17" borderId="21" xfId="0" applyFont="1" applyFill="1" applyBorder="1" applyAlignment="1">
      <alignment vertical="center" wrapText="1"/>
    </xf>
    <xf numFmtId="0" fontId="5" fillId="17" borderId="6" xfId="0" applyFont="1" applyFill="1" applyBorder="1" applyAlignment="1">
      <alignment horizontal="center" vertical="center" wrapText="1"/>
    </xf>
    <xf numFmtId="0" fontId="5" fillId="17" borderId="24" xfId="0" applyFont="1" applyFill="1" applyBorder="1" applyAlignment="1">
      <alignment horizontal="center" vertical="center" wrapText="1"/>
    </xf>
    <xf numFmtId="0" fontId="18" fillId="4" borderId="25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13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vertical="center" wrapText="1"/>
    </xf>
    <xf numFmtId="0" fontId="18" fillId="4" borderId="1" xfId="0" applyFont="1" applyFill="1" applyBorder="1" applyAlignment="1">
      <alignment vertical="center" wrapText="1"/>
    </xf>
    <xf numFmtId="0" fontId="18" fillId="4" borderId="14" xfId="0" applyFont="1" applyFill="1" applyBorder="1" applyAlignment="1">
      <alignment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18" fillId="11" borderId="25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center" vertical="center"/>
    </xf>
    <xf numFmtId="0" fontId="18" fillId="11" borderId="23" xfId="0" applyFont="1" applyFill="1" applyBorder="1" applyAlignment="1">
      <alignment vertical="center" wrapText="1"/>
    </xf>
    <xf numFmtId="0" fontId="18" fillId="11" borderId="1" xfId="0" applyFont="1" applyFill="1" applyBorder="1" applyAlignment="1">
      <alignment vertical="center" wrapText="1"/>
    </xf>
    <xf numFmtId="0" fontId="5" fillId="11" borderId="24" xfId="0" applyFont="1" applyFill="1" applyBorder="1" applyAlignment="1">
      <alignment horizontal="center" vertical="center" wrapText="1"/>
    </xf>
    <xf numFmtId="0" fontId="5" fillId="11" borderId="12" xfId="0" applyFont="1" applyFill="1" applyBorder="1" applyAlignment="1">
      <alignment horizontal="center" vertical="center" wrapText="1"/>
    </xf>
    <xf numFmtId="0" fontId="18" fillId="6" borderId="11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8" fillId="6" borderId="13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vertical="center" wrapText="1"/>
    </xf>
    <xf numFmtId="0" fontId="18" fillId="6" borderId="1" xfId="0" applyFont="1" applyFill="1" applyBorder="1" applyAlignment="1">
      <alignment vertical="center" wrapText="1"/>
    </xf>
    <xf numFmtId="0" fontId="18" fillId="6" borderId="14" xfId="0" applyFont="1" applyFill="1" applyBorder="1" applyAlignment="1">
      <alignment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18" fillId="16" borderId="22" xfId="0" applyFont="1" applyFill="1" applyBorder="1" applyAlignment="1">
      <alignment horizontal="center" vertical="center"/>
    </xf>
    <xf numFmtId="0" fontId="18" fillId="16" borderId="27" xfId="0" applyFont="1" applyFill="1" applyBorder="1" applyAlignment="1">
      <alignment vertical="center" wrapText="1"/>
    </xf>
    <xf numFmtId="0" fontId="18" fillId="16" borderId="21" xfId="0" applyFont="1" applyFill="1" applyBorder="1" applyAlignment="1">
      <alignment vertical="center"/>
    </xf>
    <xf numFmtId="0" fontId="18" fillId="16" borderId="30" xfId="0" applyFont="1" applyFill="1" applyBorder="1" applyAlignment="1">
      <alignment vertical="center"/>
    </xf>
    <xf numFmtId="0" fontId="5" fillId="16" borderId="2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Normal" xfId="0" builtinId="0"/>
    <cellStyle name="Normal 6" xfId="1" xr:uid="{00000000-0005-0000-0000-000001000000}"/>
  </cellStyles>
  <dxfs count="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1C9E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228599</xdr:colOff>
      <xdr:row>0</xdr:row>
      <xdr:rowOff>125506</xdr:rowOff>
    </xdr:from>
    <xdr:ext cx="1066801" cy="650500"/>
    <xdr:pic>
      <xdr:nvPicPr>
        <xdr:cNvPr id="2" name="Imagen 1" descr="LOGO DEL IESTP">
          <a:extLst>
            <a:ext uri="{FF2B5EF4-FFF2-40B4-BE49-F238E27FC236}">
              <a16:creationId xmlns:a16="http://schemas.microsoft.com/office/drawing/2014/main" id="{94A55EBA-4934-4C00-9EE6-9B9086A084D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8599" y="125506"/>
          <a:ext cx="1066801" cy="65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4</xdr:col>
      <xdr:colOff>1736912</xdr:colOff>
      <xdr:row>18</xdr:row>
      <xdr:rowOff>33618</xdr:rowOff>
    </xdr:from>
    <xdr:to>
      <xdr:col>4</xdr:col>
      <xdr:colOff>3608295</xdr:colOff>
      <xdr:row>18</xdr:row>
      <xdr:rowOff>33618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681C95DA-E021-40FA-A626-ACFF8D96A7F8}"/>
            </a:ext>
          </a:extLst>
        </xdr:cNvPr>
        <xdr:cNvCxnSpPr/>
      </xdr:nvCxnSpPr>
      <xdr:spPr>
        <a:xfrm>
          <a:off x="3813362" y="3462618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5</xdr:col>
      <xdr:colOff>419100</xdr:colOff>
      <xdr:row>1</xdr:row>
      <xdr:rowOff>38100</xdr:rowOff>
    </xdr:from>
    <xdr:ext cx="813692" cy="808992"/>
    <xdr:pic>
      <xdr:nvPicPr>
        <xdr:cNvPr id="4" name="Imagen 3">
          <a:extLst>
            <a:ext uri="{FF2B5EF4-FFF2-40B4-BE49-F238E27FC236}">
              <a16:creationId xmlns:a16="http://schemas.microsoft.com/office/drawing/2014/main" id="{DD05A170-2E06-4E17-9287-049221FAE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9100" y="228600"/>
          <a:ext cx="813692" cy="8089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228599</xdr:colOff>
      <xdr:row>0</xdr:row>
      <xdr:rowOff>125506</xdr:rowOff>
    </xdr:from>
    <xdr:ext cx="1066801" cy="650500"/>
    <xdr:pic>
      <xdr:nvPicPr>
        <xdr:cNvPr id="2" name="Imagen 1" descr="LOGO DEL IESTP">
          <a:extLst>
            <a:ext uri="{FF2B5EF4-FFF2-40B4-BE49-F238E27FC236}">
              <a16:creationId xmlns:a16="http://schemas.microsoft.com/office/drawing/2014/main" id="{78891241-D455-482A-A823-D9722344F5F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8599" y="125506"/>
          <a:ext cx="1066801" cy="65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4</xdr:col>
      <xdr:colOff>1736912</xdr:colOff>
      <xdr:row>17</xdr:row>
      <xdr:rowOff>33618</xdr:rowOff>
    </xdr:from>
    <xdr:to>
      <xdr:col>4</xdr:col>
      <xdr:colOff>3608295</xdr:colOff>
      <xdr:row>17</xdr:row>
      <xdr:rowOff>33618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2E3C1E94-D475-473A-8F49-D6375B43A048}"/>
            </a:ext>
          </a:extLst>
        </xdr:cNvPr>
        <xdr:cNvCxnSpPr/>
      </xdr:nvCxnSpPr>
      <xdr:spPr>
        <a:xfrm>
          <a:off x="3813362" y="3272118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1736912</xdr:colOff>
      <xdr:row>18</xdr:row>
      <xdr:rowOff>33618</xdr:rowOff>
    </xdr:from>
    <xdr:to>
      <xdr:col>4</xdr:col>
      <xdr:colOff>3608295</xdr:colOff>
      <xdr:row>18</xdr:row>
      <xdr:rowOff>33618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901AAD53-B924-44A1-A839-8AD8840442ED}"/>
            </a:ext>
          </a:extLst>
        </xdr:cNvPr>
        <xdr:cNvCxnSpPr/>
      </xdr:nvCxnSpPr>
      <xdr:spPr>
        <a:xfrm>
          <a:off x="3813362" y="3462618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5</xdr:col>
      <xdr:colOff>459441</xdr:colOff>
      <xdr:row>1</xdr:row>
      <xdr:rowOff>100852</xdr:rowOff>
    </xdr:from>
    <xdr:ext cx="813692" cy="808992"/>
    <xdr:pic>
      <xdr:nvPicPr>
        <xdr:cNvPr id="5" name="Imagen 4">
          <a:extLst>
            <a:ext uri="{FF2B5EF4-FFF2-40B4-BE49-F238E27FC236}">
              <a16:creationId xmlns:a16="http://schemas.microsoft.com/office/drawing/2014/main" id="{5CCBD964-8402-4742-BE50-5404EF002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9441" y="291352"/>
          <a:ext cx="813692" cy="8089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228599</xdr:colOff>
      <xdr:row>0</xdr:row>
      <xdr:rowOff>125506</xdr:rowOff>
    </xdr:from>
    <xdr:ext cx="1066801" cy="650500"/>
    <xdr:pic>
      <xdr:nvPicPr>
        <xdr:cNvPr id="2" name="Imagen 1" descr="LOGO DEL IESTP">
          <a:extLst>
            <a:ext uri="{FF2B5EF4-FFF2-40B4-BE49-F238E27FC236}">
              <a16:creationId xmlns:a16="http://schemas.microsoft.com/office/drawing/2014/main" id="{0F2E1C7B-9380-4C87-A993-1E9308FD4DE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8599" y="125506"/>
          <a:ext cx="1066801" cy="65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4</xdr:col>
      <xdr:colOff>1736912</xdr:colOff>
      <xdr:row>17</xdr:row>
      <xdr:rowOff>33618</xdr:rowOff>
    </xdr:from>
    <xdr:to>
      <xdr:col>4</xdr:col>
      <xdr:colOff>3608295</xdr:colOff>
      <xdr:row>17</xdr:row>
      <xdr:rowOff>33618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5DFBE5DA-1041-4DB7-B6A3-65A861AB0D68}"/>
            </a:ext>
          </a:extLst>
        </xdr:cNvPr>
        <xdr:cNvCxnSpPr/>
      </xdr:nvCxnSpPr>
      <xdr:spPr>
        <a:xfrm>
          <a:off x="3813362" y="3272118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1736912</xdr:colOff>
      <xdr:row>17</xdr:row>
      <xdr:rowOff>33618</xdr:rowOff>
    </xdr:from>
    <xdr:to>
      <xdr:col>4</xdr:col>
      <xdr:colOff>3608295</xdr:colOff>
      <xdr:row>17</xdr:row>
      <xdr:rowOff>33618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ED6BEB6D-514F-4581-BA50-C0A2A4859185}"/>
            </a:ext>
          </a:extLst>
        </xdr:cNvPr>
        <xdr:cNvCxnSpPr/>
      </xdr:nvCxnSpPr>
      <xdr:spPr>
        <a:xfrm>
          <a:off x="3813362" y="3272118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1736912</xdr:colOff>
      <xdr:row>18</xdr:row>
      <xdr:rowOff>33618</xdr:rowOff>
    </xdr:from>
    <xdr:to>
      <xdr:col>4</xdr:col>
      <xdr:colOff>3608295</xdr:colOff>
      <xdr:row>18</xdr:row>
      <xdr:rowOff>33618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C0AB49E4-CD28-464A-92E2-4B5C1753EE56}"/>
            </a:ext>
          </a:extLst>
        </xdr:cNvPr>
        <xdr:cNvCxnSpPr/>
      </xdr:nvCxnSpPr>
      <xdr:spPr>
        <a:xfrm>
          <a:off x="3813362" y="3462618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5</xdr:col>
      <xdr:colOff>476250</xdr:colOff>
      <xdr:row>1</xdr:row>
      <xdr:rowOff>123825</xdr:rowOff>
    </xdr:from>
    <xdr:ext cx="813692" cy="801682"/>
    <xdr:pic>
      <xdr:nvPicPr>
        <xdr:cNvPr id="6" name="Imagen 5">
          <a:extLst>
            <a:ext uri="{FF2B5EF4-FFF2-40B4-BE49-F238E27FC236}">
              <a16:creationId xmlns:a16="http://schemas.microsoft.com/office/drawing/2014/main" id="{3B3609D7-9CE9-40BC-A398-B6F88F3A9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0" y="314325"/>
          <a:ext cx="813692" cy="801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163075</xdr:colOff>
      <xdr:row>0</xdr:row>
      <xdr:rowOff>44824</xdr:rowOff>
    </xdr:from>
    <xdr:ext cx="810186" cy="786250"/>
    <xdr:pic>
      <xdr:nvPicPr>
        <xdr:cNvPr id="2" name="Imagen 1" descr="LOGO DEL IESTP">
          <a:extLst>
            <a:ext uri="{FF2B5EF4-FFF2-40B4-BE49-F238E27FC236}">
              <a16:creationId xmlns:a16="http://schemas.microsoft.com/office/drawing/2014/main" id="{3826B5D7-4820-4BD2-ADBD-BFE579E5E7B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3075" y="44824"/>
          <a:ext cx="810186" cy="78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100853</xdr:colOff>
      <xdr:row>0</xdr:row>
      <xdr:rowOff>89647</xdr:rowOff>
    </xdr:from>
    <xdr:ext cx="1420673" cy="1027885"/>
    <xdr:pic>
      <xdr:nvPicPr>
        <xdr:cNvPr id="2" name="Imagen 1" descr="LOGO DEL IESTP">
          <a:extLst>
            <a:ext uri="{FF2B5EF4-FFF2-40B4-BE49-F238E27FC236}">
              <a16:creationId xmlns:a16="http://schemas.microsoft.com/office/drawing/2014/main" id="{8D08349A-D17C-43EE-B215-30AB9B30E24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853" y="89647"/>
          <a:ext cx="1420673" cy="10278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D7AB8-C2FC-4B89-AF70-553F82D3DD0F}">
  <sheetPr>
    <pageSetUpPr fitToPage="1"/>
  </sheetPr>
  <dimension ref="A1:F20"/>
  <sheetViews>
    <sheetView topLeftCell="A13" zoomScale="84" zoomScaleNormal="84" workbookViewId="0">
      <selection activeCell="H10" sqref="H10"/>
    </sheetView>
  </sheetViews>
  <sheetFormatPr baseColWidth="10" defaultRowHeight="15" x14ac:dyDescent="0.25"/>
  <cols>
    <col min="1" max="1" width="16.42578125" customWidth="1"/>
    <col min="2" max="4" width="25.7109375" customWidth="1"/>
    <col min="5" max="5" width="25.7109375" style="12" customWidth="1"/>
    <col min="6" max="6" width="25.7109375" customWidth="1"/>
  </cols>
  <sheetData>
    <row r="1" spans="1:6" x14ac:dyDescent="0.25">
      <c r="A1" s="2"/>
      <c r="B1" s="2"/>
      <c r="C1" s="2"/>
      <c r="D1" s="2"/>
      <c r="E1" s="9"/>
      <c r="F1" s="2"/>
    </row>
    <row r="2" spans="1:6" ht="20.25" x14ac:dyDescent="0.3">
      <c r="A2" s="156" t="s">
        <v>0</v>
      </c>
      <c r="B2" s="156"/>
      <c r="C2" s="156"/>
      <c r="D2" s="156"/>
      <c r="E2" s="156"/>
      <c r="F2" s="11"/>
    </row>
    <row r="3" spans="1:6" ht="15.75" x14ac:dyDescent="0.25">
      <c r="A3" s="3"/>
      <c r="B3" s="3"/>
      <c r="C3" s="3"/>
      <c r="D3" s="3"/>
      <c r="E3" s="157"/>
      <c r="F3" s="157"/>
    </row>
    <row r="4" spans="1:6" ht="24.75" customHeight="1" x14ac:dyDescent="0.25">
      <c r="A4" s="155" t="s">
        <v>20</v>
      </c>
      <c r="B4" s="155"/>
      <c r="C4" s="155"/>
      <c r="D4" s="155"/>
      <c r="E4" s="14" t="s">
        <v>16</v>
      </c>
      <c r="F4" s="2"/>
    </row>
    <row r="5" spans="1:6" ht="15.75" x14ac:dyDescent="0.25">
      <c r="A5" s="3" t="s">
        <v>69</v>
      </c>
      <c r="B5" s="3"/>
      <c r="C5" s="3"/>
      <c r="D5" s="3"/>
      <c r="E5" s="9"/>
      <c r="F5" s="2"/>
    </row>
    <row r="6" spans="1:6" ht="15.75" x14ac:dyDescent="0.25">
      <c r="A6" s="3"/>
      <c r="B6" s="3"/>
      <c r="C6" s="3"/>
      <c r="D6" s="3"/>
      <c r="E6" s="9"/>
      <c r="F6" s="2"/>
    </row>
    <row r="7" spans="1:6" ht="27" customHeight="1" thickBot="1" x14ac:dyDescent="0.3">
      <c r="A7" s="4" t="s">
        <v>1</v>
      </c>
      <c r="B7" s="5" t="s">
        <v>2</v>
      </c>
      <c r="C7" s="5" t="s">
        <v>3</v>
      </c>
      <c r="D7" s="5" t="s">
        <v>4</v>
      </c>
      <c r="E7" s="5" t="s">
        <v>5</v>
      </c>
      <c r="F7" s="5" t="s">
        <v>6</v>
      </c>
    </row>
    <row r="8" spans="1:6" ht="120" customHeight="1" thickBot="1" x14ac:dyDescent="0.3">
      <c r="A8" s="1" t="s">
        <v>19</v>
      </c>
      <c r="B8" s="97" t="s">
        <v>141</v>
      </c>
      <c r="C8" s="89" t="s">
        <v>95</v>
      </c>
      <c r="D8" s="91" t="s">
        <v>103</v>
      </c>
      <c r="E8" s="10"/>
      <c r="F8" s="88" t="s">
        <v>99</v>
      </c>
    </row>
    <row r="9" spans="1:6" ht="120" customHeight="1" thickBot="1" x14ac:dyDescent="0.3">
      <c r="A9" s="1" t="s">
        <v>7</v>
      </c>
      <c r="B9" s="97" t="s">
        <v>142</v>
      </c>
      <c r="C9" s="89" t="s">
        <v>96</v>
      </c>
      <c r="D9" s="91" t="s">
        <v>104</v>
      </c>
      <c r="E9" s="93" t="s">
        <v>107</v>
      </c>
      <c r="F9" s="88" t="s">
        <v>99</v>
      </c>
    </row>
    <row r="10" spans="1:6" ht="120" customHeight="1" thickBot="1" x14ac:dyDescent="0.3">
      <c r="A10" s="1" t="s">
        <v>8</v>
      </c>
      <c r="B10" s="97" t="s">
        <v>143</v>
      </c>
      <c r="C10" s="89" t="s">
        <v>97</v>
      </c>
      <c r="D10" s="92" t="s">
        <v>105</v>
      </c>
      <c r="E10" s="93" t="s">
        <v>107</v>
      </c>
      <c r="F10" s="88" t="s">
        <v>99</v>
      </c>
    </row>
    <row r="11" spans="1:6" ht="120" customHeight="1" thickBot="1" x14ac:dyDescent="0.3">
      <c r="A11" s="8" t="s">
        <v>9</v>
      </c>
      <c r="B11" s="90" t="s">
        <v>92</v>
      </c>
      <c r="C11" s="88" t="s">
        <v>98</v>
      </c>
      <c r="D11" s="92" t="s">
        <v>106</v>
      </c>
      <c r="E11" s="93" t="s">
        <v>71</v>
      </c>
      <c r="F11" s="87" t="s">
        <v>109</v>
      </c>
    </row>
    <row r="12" spans="1:6" ht="120" customHeight="1" thickBot="1" x14ac:dyDescent="0.3">
      <c r="A12" s="1" t="s">
        <v>10</v>
      </c>
      <c r="B12" s="90" t="s">
        <v>93</v>
      </c>
      <c r="C12" s="88" t="s">
        <v>99</v>
      </c>
      <c r="D12" s="92" t="s">
        <v>106</v>
      </c>
      <c r="E12" s="87" t="s">
        <v>108</v>
      </c>
      <c r="F12" s="87" t="s">
        <v>109</v>
      </c>
    </row>
    <row r="13" spans="1:6" s="7" customFormat="1" ht="26.25" customHeight="1" thickBot="1" x14ac:dyDescent="0.3">
      <c r="A13" s="6" t="s">
        <v>11</v>
      </c>
      <c r="B13" s="158" t="s">
        <v>12</v>
      </c>
      <c r="C13" s="159"/>
      <c r="D13" s="159"/>
      <c r="E13" s="159"/>
      <c r="F13" s="160"/>
    </row>
    <row r="14" spans="1:6" ht="120" customHeight="1" thickBot="1" x14ac:dyDescent="0.3">
      <c r="A14" s="1" t="s">
        <v>13</v>
      </c>
      <c r="B14" s="86" t="s">
        <v>91</v>
      </c>
      <c r="C14" s="86" t="s">
        <v>100</v>
      </c>
      <c r="D14" s="87" t="s">
        <v>101</v>
      </c>
      <c r="E14" s="87" t="s">
        <v>108</v>
      </c>
      <c r="F14" s="87" t="s">
        <v>109</v>
      </c>
    </row>
    <row r="15" spans="1:6" ht="120" customHeight="1" thickBot="1" x14ac:dyDescent="0.3">
      <c r="A15" s="1" t="s">
        <v>14</v>
      </c>
      <c r="B15" s="86" t="s">
        <v>94</v>
      </c>
      <c r="C15" s="87" t="s">
        <v>109</v>
      </c>
      <c r="D15" s="87" t="s">
        <v>102</v>
      </c>
      <c r="E15" s="10"/>
      <c r="F15" s="16"/>
    </row>
    <row r="16" spans="1:6" ht="22.5" customHeight="1" x14ac:dyDescent="0.25"/>
    <row r="17" spans="1:6" ht="21" customHeight="1" x14ac:dyDescent="0.25">
      <c r="A17" s="20" t="s">
        <v>21</v>
      </c>
      <c r="B17" s="20"/>
      <c r="C17" s="21"/>
      <c r="D17" s="21"/>
      <c r="E17" s="22"/>
      <c r="F17" s="21"/>
    </row>
    <row r="18" spans="1:6" ht="94.5" customHeight="1" x14ac:dyDescent="0.25">
      <c r="A18" s="19"/>
      <c r="B18" s="19"/>
    </row>
    <row r="19" spans="1:6" ht="22.5" customHeight="1" x14ac:dyDescent="0.25">
      <c r="E19" s="17" t="s">
        <v>15</v>
      </c>
      <c r="F19" s="18"/>
    </row>
    <row r="20" spans="1:6" ht="22.5" customHeight="1" x14ac:dyDescent="0.25"/>
  </sheetData>
  <mergeCells count="4">
    <mergeCell ref="A4:D4"/>
    <mergeCell ref="A2:E2"/>
    <mergeCell ref="E3:F3"/>
    <mergeCell ref="B13:F13"/>
  </mergeCells>
  <conditionalFormatting sqref="E9:E11">
    <cfRule type="cellIs" dxfId="4" priority="1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6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3AA0-3E2A-4E10-AD1F-D6B945AA4F38}">
  <sheetPr>
    <pageSetUpPr fitToPage="1"/>
  </sheetPr>
  <dimension ref="A1:F19"/>
  <sheetViews>
    <sheetView topLeftCell="A3" zoomScale="82" zoomScaleNormal="82" workbookViewId="0">
      <selection activeCell="I14" sqref="I14"/>
    </sheetView>
  </sheetViews>
  <sheetFormatPr baseColWidth="10" defaultRowHeight="15" x14ac:dyDescent="0.25"/>
  <cols>
    <col min="1" max="1" width="16.42578125" customWidth="1"/>
    <col min="2" max="4" width="25.7109375" customWidth="1"/>
    <col min="5" max="5" width="25.7109375" style="12" customWidth="1"/>
    <col min="6" max="6" width="25.7109375" customWidth="1"/>
  </cols>
  <sheetData>
    <row r="1" spans="1:6" x14ac:dyDescent="0.25">
      <c r="A1" s="2"/>
      <c r="B1" s="2"/>
      <c r="C1" s="2"/>
      <c r="D1" s="2"/>
      <c r="E1" s="9"/>
      <c r="F1" s="2"/>
    </row>
    <row r="2" spans="1:6" ht="20.25" x14ac:dyDescent="0.3">
      <c r="A2" s="156" t="s">
        <v>0</v>
      </c>
      <c r="B2" s="156"/>
      <c r="C2" s="156"/>
      <c r="D2" s="156"/>
      <c r="E2" s="156"/>
      <c r="F2" s="11"/>
    </row>
    <row r="3" spans="1:6" ht="15.75" x14ac:dyDescent="0.25">
      <c r="A3" s="3"/>
      <c r="B3" s="3"/>
      <c r="C3" s="3"/>
      <c r="D3" s="3"/>
      <c r="E3" s="157"/>
      <c r="F3" s="157"/>
    </row>
    <row r="4" spans="1:6" ht="24.75" customHeight="1" x14ac:dyDescent="0.25">
      <c r="A4" s="155" t="s">
        <v>20</v>
      </c>
      <c r="B4" s="155"/>
      <c r="C4" s="155"/>
      <c r="D4" s="155"/>
      <c r="E4" s="14" t="s">
        <v>17</v>
      </c>
      <c r="F4" s="2"/>
    </row>
    <row r="5" spans="1:6" ht="15.75" x14ac:dyDescent="0.25">
      <c r="A5" s="3" t="s">
        <v>69</v>
      </c>
      <c r="B5" s="3"/>
      <c r="C5" s="3"/>
      <c r="D5" s="3"/>
      <c r="E5" s="9"/>
      <c r="F5" s="2"/>
    </row>
    <row r="6" spans="1:6" ht="15.75" x14ac:dyDescent="0.25">
      <c r="A6" s="3"/>
      <c r="B6" s="3"/>
      <c r="C6" s="3"/>
      <c r="D6" s="3"/>
      <c r="E6" s="9"/>
      <c r="F6" s="2"/>
    </row>
    <row r="7" spans="1:6" ht="27" customHeight="1" thickBot="1" x14ac:dyDescent="0.3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</row>
    <row r="8" spans="1:6" ht="120" customHeight="1" x14ac:dyDescent="0.25">
      <c r="A8" s="81" t="s">
        <v>19</v>
      </c>
      <c r="B8" s="85" t="s">
        <v>110</v>
      </c>
      <c r="C8" s="15" t="s">
        <v>114</v>
      </c>
      <c r="D8" s="84" t="s">
        <v>119</v>
      </c>
      <c r="E8" s="83" t="s">
        <v>120</v>
      </c>
      <c r="F8" s="96" t="s">
        <v>126</v>
      </c>
    </row>
    <row r="9" spans="1:6" ht="120" customHeight="1" x14ac:dyDescent="0.25">
      <c r="A9" s="79" t="s">
        <v>7</v>
      </c>
      <c r="B9" s="94" t="s">
        <v>111</v>
      </c>
      <c r="C9" s="80" t="s">
        <v>115</v>
      </c>
      <c r="D9" s="84" t="s">
        <v>119</v>
      </c>
      <c r="E9" s="13" t="s">
        <v>121</v>
      </c>
      <c r="F9" s="96" t="s">
        <v>126</v>
      </c>
    </row>
    <row r="10" spans="1:6" ht="120" customHeight="1" x14ac:dyDescent="0.25">
      <c r="A10" s="79" t="s">
        <v>8</v>
      </c>
      <c r="B10" s="94" t="s">
        <v>111</v>
      </c>
      <c r="C10" s="80" t="s">
        <v>116</v>
      </c>
      <c r="D10" s="96" t="s">
        <v>144</v>
      </c>
      <c r="E10" s="13" t="s">
        <v>122</v>
      </c>
      <c r="F10" s="96" t="s">
        <v>126</v>
      </c>
    </row>
    <row r="11" spans="1:6" ht="120" customHeight="1" x14ac:dyDescent="0.25">
      <c r="A11" s="79" t="s">
        <v>9</v>
      </c>
      <c r="B11" s="88" t="s">
        <v>112</v>
      </c>
      <c r="C11" s="10" t="s">
        <v>117</v>
      </c>
      <c r="D11" s="94" t="s">
        <v>111</v>
      </c>
      <c r="E11" s="97" t="s">
        <v>123</v>
      </c>
      <c r="F11" s="88" t="s">
        <v>148</v>
      </c>
    </row>
    <row r="12" spans="1:6" ht="120" customHeight="1" thickBot="1" x14ac:dyDescent="0.3">
      <c r="A12" s="78" t="s">
        <v>10</v>
      </c>
      <c r="B12" s="149" t="s">
        <v>113</v>
      </c>
      <c r="C12" s="150" t="s">
        <v>117</v>
      </c>
      <c r="D12" s="94" t="s">
        <v>111</v>
      </c>
      <c r="E12" s="151" t="s">
        <v>124</v>
      </c>
      <c r="F12" s="152" t="s">
        <v>149</v>
      </c>
    </row>
    <row r="13" spans="1:6" s="7" customFormat="1" ht="26.25" customHeight="1" thickBot="1" x14ac:dyDescent="0.3">
      <c r="A13" s="77" t="s">
        <v>11</v>
      </c>
      <c r="B13" s="161" t="s">
        <v>12</v>
      </c>
      <c r="C13" s="161"/>
      <c r="D13" s="161"/>
      <c r="E13" s="161"/>
      <c r="F13" s="161"/>
    </row>
    <row r="14" spans="1:6" ht="120" customHeight="1" x14ac:dyDescent="0.25">
      <c r="A14" s="76" t="s">
        <v>13</v>
      </c>
      <c r="B14" s="95" t="s">
        <v>113</v>
      </c>
      <c r="C14" s="153" t="s">
        <v>118</v>
      </c>
      <c r="D14" s="154" t="s">
        <v>111</v>
      </c>
      <c r="E14" s="153" t="s">
        <v>118</v>
      </c>
      <c r="F14" s="95" t="s">
        <v>149</v>
      </c>
    </row>
    <row r="15" spans="1:6" ht="120" customHeight="1" thickBot="1" x14ac:dyDescent="0.3">
      <c r="A15" s="74" t="s">
        <v>14</v>
      </c>
      <c r="B15" s="10"/>
      <c r="C15" s="10" t="s">
        <v>118</v>
      </c>
      <c r="D15" s="10"/>
      <c r="E15" s="10" t="s">
        <v>125</v>
      </c>
      <c r="F15" s="148"/>
    </row>
    <row r="16" spans="1:6" ht="22.5" customHeight="1" x14ac:dyDescent="0.25"/>
    <row r="17" spans="1:6" ht="28.5" customHeight="1" x14ac:dyDescent="0.25">
      <c r="A17" s="20" t="s">
        <v>21</v>
      </c>
      <c r="B17" s="20"/>
      <c r="C17" s="21"/>
      <c r="D17" s="21"/>
      <c r="E17" s="22"/>
      <c r="F17" s="21"/>
    </row>
    <row r="18" spans="1:6" ht="104.25" customHeight="1" x14ac:dyDescent="0.25">
      <c r="A18" s="19"/>
      <c r="B18" s="19"/>
    </row>
    <row r="19" spans="1:6" ht="22.5" customHeight="1" x14ac:dyDescent="0.25">
      <c r="E19" s="17" t="s">
        <v>15</v>
      </c>
      <c r="F19" s="18"/>
    </row>
  </sheetData>
  <mergeCells count="4">
    <mergeCell ref="A4:D4"/>
    <mergeCell ref="B13:F13"/>
    <mergeCell ref="A2:E2"/>
    <mergeCell ref="E3:F3"/>
  </mergeCells>
  <conditionalFormatting sqref="E8:E10">
    <cfRule type="cellIs" dxfId="3" priority="1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6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4395-9016-4836-A9B8-78A4C35A2BB2}">
  <sheetPr>
    <pageSetUpPr fitToPage="1"/>
  </sheetPr>
  <dimension ref="A1:F19"/>
  <sheetViews>
    <sheetView tabSelected="1" topLeftCell="A3" zoomScale="91" zoomScaleNormal="91" workbookViewId="0">
      <selection activeCell="G9" sqref="G9"/>
    </sheetView>
  </sheetViews>
  <sheetFormatPr baseColWidth="10" defaultRowHeight="15" x14ac:dyDescent="0.25"/>
  <cols>
    <col min="1" max="1" width="16.42578125" customWidth="1"/>
    <col min="2" max="4" width="25.7109375" customWidth="1"/>
    <col min="5" max="5" width="25.7109375" style="12" customWidth="1"/>
    <col min="6" max="6" width="25.7109375" customWidth="1"/>
  </cols>
  <sheetData>
    <row r="1" spans="1:6" x14ac:dyDescent="0.25">
      <c r="A1" s="2"/>
      <c r="B1" s="2"/>
      <c r="C1" s="2"/>
      <c r="D1" s="2"/>
      <c r="E1" s="9"/>
      <c r="F1" s="2"/>
    </row>
    <row r="2" spans="1:6" ht="20.25" x14ac:dyDescent="0.3">
      <c r="A2" s="156" t="s">
        <v>0</v>
      </c>
      <c r="B2" s="156"/>
      <c r="C2" s="156"/>
      <c r="D2" s="156"/>
      <c r="E2" s="156"/>
      <c r="F2" s="11"/>
    </row>
    <row r="3" spans="1:6" ht="15.75" x14ac:dyDescent="0.25">
      <c r="A3" s="3"/>
      <c r="B3" s="3"/>
      <c r="C3" s="3"/>
      <c r="D3" s="3"/>
      <c r="E3" s="157"/>
      <c r="F3" s="157"/>
    </row>
    <row r="4" spans="1:6" ht="24.75" customHeight="1" x14ac:dyDescent="0.25">
      <c r="A4" s="155" t="s">
        <v>20</v>
      </c>
      <c r="B4" s="155"/>
      <c r="C4" s="155"/>
      <c r="D4" s="155"/>
      <c r="E4" s="14" t="s">
        <v>18</v>
      </c>
      <c r="F4" s="2"/>
    </row>
    <row r="5" spans="1:6" ht="15.75" x14ac:dyDescent="0.25">
      <c r="A5" s="3" t="s">
        <v>69</v>
      </c>
      <c r="B5" s="3"/>
      <c r="C5" s="3"/>
      <c r="D5" s="3"/>
      <c r="E5" s="9"/>
      <c r="F5" s="2"/>
    </row>
    <row r="6" spans="1:6" ht="15.75" x14ac:dyDescent="0.25">
      <c r="A6" s="3"/>
      <c r="B6" s="3"/>
      <c r="C6" s="3"/>
      <c r="D6" s="3"/>
      <c r="E6" s="9"/>
      <c r="F6" s="2"/>
    </row>
    <row r="7" spans="1:6" ht="27" customHeight="1" thickBot="1" x14ac:dyDescent="0.3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</row>
    <row r="8" spans="1:6" ht="120" customHeight="1" thickBot="1" x14ac:dyDescent="0.3">
      <c r="A8" s="81" t="s">
        <v>19</v>
      </c>
      <c r="B8" s="82"/>
      <c r="C8" s="98" t="s">
        <v>131</v>
      </c>
      <c r="D8" s="102" t="s">
        <v>138</v>
      </c>
      <c r="E8" s="84" t="s">
        <v>130</v>
      </c>
      <c r="F8" s="104"/>
    </row>
    <row r="9" spans="1:6" ht="120" customHeight="1" thickBot="1" x14ac:dyDescent="0.3">
      <c r="A9" s="79" t="s">
        <v>7</v>
      </c>
      <c r="B9" s="101" t="s">
        <v>127</v>
      </c>
      <c r="C9" s="84" t="s">
        <v>132</v>
      </c>
      <c r="D9" s="103" t="s">
        <v>139</v>
      </c>
      <c r="E9" s="84" t="s">
        <v>130</v>
      </c>
      <c r="F9" s="99" t="s">
        <v>145</v>
      </c>
    </row>
    <row r="10" spans="1:6" ht="120" customHeight="1" thickBot="1" x14ac:dyDescent="0.3">
      <c r="A10" s="79" t="s">
        <v>8</v>
      </c>
      <c r="B10" s="101" t="s">
        <v>127</v>
      </c>
      <c r="C10" s="84" t="s">
        <v>133</v>
      </c>
      <c r="D10" s="73" t="s">
        <v>128</v>
      </c>
      <c r="E10" s="84" t="s">
        <v>130</v>
      </c>
      <c r="F10" s="99" t="s">
        <v>145</v>
      </c>
    </row>
    <row r="11" spans="1:6" ht="120" customHeight="1" thickBot="1" x14ac:dyDescent="0.3">
      <c r="A11" s="79" t="s">
        <v>9</v>
      </c>
      <c r="B11" s="75" t="s">
        <v>70</v>
      </c>
      <c r="C11" s="99" t="s">
        <v>134</v>
      </c>
      <c r="D11" s="73" t="s">
        <v>128</v>
      </c>
      <c r="E11" s="88" t="s">
        <v>137</v>
      </c>
      <c r="F11" s="99" t="s">
        <v>145</v>
      </c>
    </row>
    <row r="12" spans="1:6" ht="120" customHeight="1" thickBot="1" x14ac:dyDescent="0.3">
      <c r="A12" s="78" t="s">
        <v>10</v>
      </c>
      <c r="B12" s="73" t="s">
        <v>128</v>
      </c>
      <c r="C12" s="100" t="s">
        <v>135</v>
      </c>
      <c r="D12" s="73" t="s">
        <v>128</v>
      </c>
      <c r="E12" s="88" t="s">
        <v>140</v>
      </c>
      <c r="F12" s="84" t="s">
        <v>146</v>
      </c>
    </row>
    <row r="13" spans="1:6" s="7" customFormat="1" ht="26.25" customHeight="1" thickBot="1" x14ac:dyDescent="0.3">
      <c r="A13" s="77" t="s">
        <v>11</v>
      </c>
      <c r="B13" s="162" t="s">
        <v>12</v>
      </c>
      <c r="C13" s="163"/>
      <c r="D13" s="163"/>
      <c r="E13" s="162"/>
      <c r="F13" s="164"/>
    </row>
    <row r="14" spans="1:6" ht="120" customHeight="1" x14ac:dyDescent="0.25">
      <c r="A14" s="76" t="s">
        <v>13</v>
      </c>
      <c r="B14" s="105" t="s">
        <v>129</v>
      </c>
      <c r="C14" s="88" t="s">
        <v>136</v>
      </c>
      <c r="D14" s="84" t="s">
        <v>130</v>
      </c>
      <c r="E14" s="100" t="s">
        <v>135</v>
      </c>
      <c r="F14" s="84" t="s">
        <v>147</v>
      </c>
    </row>
    <row r="15" spans="1:6" ht="120" customHeight="1" thickBot="1" x14ac:dyDescent="0.3">
      <c r="A15" s="74" t="s">
        <v>14</v>
      </c>
      <c r="B15" s="84" t="s">
        <v>130</v>
      </c>
      <c r="C15" s="88" t="s">
        <v>137</v>
      </c>
      <c r="D15" s="84" t="s">
        <v>130</v>
      </c>
      <c r="E15" s="99" t="s">
        <v>135</v>
      </c>
      <c r="F15" s="10"/>
    </row>
    <row r="16" spans="1:6" ht="22.5" customHeight="1" x14ac:dyDescent="0.25"/>
    <row r="17" spans="1:6" ht="21.75" customHeight="1" x14ac:dyDescent="0.25">
      <c r="A17" s="20" t="s">
        <v>21</v>
      </c>
      <c r="B17" s="20"/>
      <c r="C17" s="21"/>
      <c r="D17" s="21"/>
      <c r="E17" s="22"/>
      <c r="F17" s="21"/>
    </row>
    <row r="18" spans="1:6" ht="120" customHeight="1" x14ac:dyDescent="0.25">
      <c r="A18" s="19"/>
      <c r="B18" s="19"/>
    </row>
    <row r="19" spans="1:6" ht="22.5" customHeight="1" x14ac:dyDescent="0.25">
      <c r="E19" s="17" t="s">
        <v>15</v>
      </c>
      <c r="F19" s="18"/>
    </row>
  </sheetData>
  <mergeCells count="4">
    <mergeCell ref="A4:D4"/>
    <mergeCell ref="B13:F13"/>
    <mergeCell ref="A2:E2"/>
    <mergeCell ref="E3:F3"/>
  </mergeCells>
  <pageMargins left="0.70866141732283472" right="0.70866141732283472" top="0.74803149606299213" bottom="0.74803149606299213" header="0.31496062992125984" footer="0.31496062992125984"/>
  <pageSetup paperSize="9" scale="60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106EB-AF99-4134-8E79-F213B82F39A0}">
  <dimension ref="A1:H37"/>
  <sheetViews>
    <sheetView topLeftCell="A18" zoomScale="85" zoomScaleNormal="85" workbookViewId="0">
      <selection sqref="A1:G33"/>
    </sheetView>
  </sheetViews>
  <sheetFormatPr baseColWidth="10" defaultColWidth="11.42578125" defaultRowHeight="15" x14ac:dyDescent="0.25"/>
  <cols>
    <col min="1" max="1" width="5.7109375" style="23" customWidth="1"/>
    <col min="2" max="2" width="45.7109375" style="23" customWidth="1"/>
    <col min="3" max="3" width="72" style="23" customWidth="1"/>
    <col min="4" max="4" width="8.140625" style="23" customWidth="1"/>
    <col min="5" max="5" width="13.7109375" style="23" customWidth="1"/>
    <col min="6" max="6" width="16.5703125" style="23" customWidth="1"/>
    <col min="7" max="7" width="0.28515625" style="23" hidden="1" customWidth="1"/>
    <col min="8" max="8" width="11.42578125" style="23"/>
    <col min="9" max="9" width="5.140625" style="23" customWidth="1"/>
    <col min="10" max="16384" width="11.42578125" style="23"/>
  </cols>
  <sheetData>
    <row r="1" spans="1:7" ht="23.25" x14ac:dyDescent="0.35">
      <c r="A1" s="165" t="s">
        <v>52</v>
      </c>
      <c r="B1" s="165"/>
      <c r="C1" s="165"/>
      <c r="D1" s="165"/>
      <c r="E1" s="165"/>
      <c r="F1" s="165"/>
      <c r="G1" s="38"/>
    </row>
    <row r="2" spans="1:7" ht="20.25" x14ac:dyDescent="0.3">
      <c r="A2" s="166" t="s">
        <v>51</v>
      </c>
      <c r="B2" s="166"/>
      <c r="C2" s="166"/>
      <c r="D2" s="166"/>
      <c r="E2" s="166"/>
      <c r="F2" s="166"/>
      <c r="G2" s="166"/>
    </row>
    <row r="3" spans="1:7" ht="23.25" x14ac:dyDescent="0.25">
      <c r="A3" s="167" t="s">
        <v>82</v>
      </c>
      <c r="B3" s="167"/>
      <c r="C3" s="167"/>
      <c r="D3" s="167"/>
      <c r="E3" s="167"/>
      <c r="F3" s="167"/>
    </row>
    <row r="4" spans="1:7" ht="20.100000000000001" customHeight="1" thickBot="1" x14ac:dyDescent="0.3">
      <c r="A4" s="37"/>
      <c r="B4" s="36"/>
      <c r="C4" s="36"/>
      <c r="D4" s="36"/>
      <c r="E4" s="36"/>
      <c r="F4" s="36"/>
    </row>
    <row r="5" spans="1:7" ht="43.5" customHeight="1" thickBot="1" x14ac:dyDescent="0.3">
      <c r="A5" s="35" t="s">
        <v>50</v>
      </c>
      <c r="B5" s="34" t="s">
        <v>49</v>
      </c>
      <c r="C5" s="34" t="s">
        <v>48</v>
      </c>
      <c r="D5" s="34" t="s">
        <v>47</v>
      </c>
      <c r="E5" s="33" t="s">
        <v>46</v>
      </c>
      <c r="F5" s="32" t="s">
        <v>45</v>
      </c>
    </row>
    <row r="6" spans="1:7" ht="18.95" customHeight="1" x14ac:dyDescent="0.3">
      <c r="A6" s="168">
        <v>1</v>
      </c>
      <c r="B6" s="170" t="s">
        <v>44</v>
      </c>
      <c r="C6" s="145" t="s">
        <v>81</v>
      </c>
      <c r="D6" s="144" t="s">
        <v>34</v>
      </c>
      <c r="E6" s="144">
        <v>3</v>
      </c>
      <c r="F6" s="172">
        <f>SUM(E6:E7)</f>
        <v>6</v>
      </c>
    </row>
    <row r="7" spans="1:7" ht="18.95" customHeight="1" x14ac:dyDescent="0.3">
      <c r="A7" s="169"/>
      <c r="B7" s="171"/>
      <c r="C7" s="143" t="s">
        <v>75</v>
      </c>
      <c r="D7" s="138" t="s">
        <v>34</v>
      </c>
      <c r="E7" s="142">
        <v>3</v>
      </c>
      <c r="F7" s="173"/>
    </row>
    <row r="8" spans="1:7" ht="18.95" customHeight="1" x14ac:dyDescent="0.3">
      <c r="A8" s="174">
        <v>2</v>
      </c>
      <c r="B8" s="177" t="s">
        <v>80</v>
      </c>
      <c r="C8" s="141" t="s">
        <v>79</v>
      </c>
      <c r="D8" s="140" t="s">
        <v>34</v>
      </c>
      <c r="E8" s="139">
        <v>6</v>
      </c>
      <c r="F8" s="180">
        <f>SUM(E8:E11)</f>
        <v>19</v>
      </c>
    </row>
    <row r="9" spans="1:7" ht="18.95" customHeight="1" x14ac:dyDescent="0.3">
      <c r="A9" s="175"/>
      <c r="B9" s="178"/>
      <c r="C9" s="137" t="s">
        <v>78</v>
      </c>
      <c r="D9" s="135" t="s">
        <v>34</v>
      </c>
      <c r="E9" s="135">
        <v>5</v>
      </c>
      <c r="F9" s="181"/>
    </row>
    <row r="10" spans="1:7" ht="18.95" customHeight="1" x14ac:dyDescent="0.25">
      <c r="A10" s="175"/>
      <c r="B10" s="178"/>
      <c r="C10" s="136" t="s">
        <v>33</v>
      </c>
      <c r="D10" s="135" t="s">
        <v>23</v>
      </c>
      <c r="E10" s="135">
        <v>3</v>
      </c>
      <c r="F10" s="181"/>
    </row>
    <row r="11" spans="1:7" ht="18.95" customHeight="1" thickBot="1" x14ac:dyDescent="0.3">
      <c r="A11" s="176"/>
      <c r="B11" s="179"/>
      <c r="C11" s="134" t="s">
        <v>41</v>
      </c>
      <c r="D11" s="133" t="s">
        <v>27</v>
      </c>
      <c r="E11" s="133">
        <v>5</v>
      </c>
      <c r="F11" s="182"/>
    </row>
    <row r="12" spans="1:7" ht="18.95" customHeight="1" x14ac:dyDescent="0.3">
      <c r="A12" s="183">
        <v>3</v>
      </c>
      <c r="B12" s="185" t="s">
        <v>40</v>
      </c>
      <c r="C12" s="132" t="s">
        <v>77</v>
      </c>
      <c r="D12" s="131" t="s">
        <v>34</v>
      </c>
      <c r="E12" s="131">
        <v>5</v>
      </c>
      <c r="F12" s="187">
        <f>SUM(E12:E14)</f>
        <v>18</v>
      </c>
    </row>
    <row r="13" spans="1:7" ht="18.95" customHeight="1" x14ac:dyDescent="0.25">
      <c r="A13" s="183"/>
      <c r="B13" s="185"/>
      <c r="C13" s="130" t="s">
        <v>38</v>
      </c>
      <c r="D13" s="129" t="s">
        <v>23</v>
      </c>
      <c r="E13" s="129">
        <v>6</v>
      </c>
      <c r="F13" s="187"/>
    </row>
    <row r="14" spans="1:7" ht="18.95" customHeight="1" thickBot="1" x14ac:dyDescent="0.3">
      <c r="A14" s="184"/>
      <c r="B14" s="186"/>
      <c r="C14" s="128" t="s">
        <v>37</v>
      </c>
      <c r="D14" s="127" t="s">
        <v>27</v>
      </c>
      <c r="E14" s="127">
        <v>7</v>
      </c>
      <c r="F14" s="188"/>
    </row>
    <row r="15" spans="1:7" ht="18.95" customHeight="1" x14ac:dyDescent="0.25">
      <c r="A15" s="189">
        <v>4</v>
      </c>
      <c r="B15" s="192" t="s">
        <v>36</v>
      </c>
      <c r="C15" s="126" t="s">
        <v>42</v>
      </c>
      <c r="D15" s="125" t="s">
        <v>23</v>
      </c>
      <c r="E15" s="124">
        <v>3</v>
      </c>
      <c r="F15" s="195">
        <f>SUM(E15:E19)</f>
        <v>20</v>
      </c>
    </row>
    <row r="16" spans="1:7" ht="18.95" customHeight="1" x14ac:dyDescent="0.3">
      <c r="A16" s="190"/>
      <c r="B16" s="193"/>
      <c r="C16" s="123" t="s">
        <v>76</v>
      </c>
      <c r="D16" s="30" t="s">
        <v>34</v>
      </c>
      <c r="E16" s="30">
        <v>3</v>
      </c>
      <c r="F16" s="196"/>
    </row>
    <row r="17" spans="1:8" ht="18.95" customHeight="1" x14ac:dyDescent="0.3">
      <c r="A17" s="190"/>
      <c r="B17" s="193"/>
      <c r="C17" s="123" t="s">
        <v>43</v>
      </c>
      <c r="D17" s="30" t="s">
        <v>34</v>
      </c>
      <c r="E17" s="30">
        <v>5</v>
      </c>
      <c r="F17" s="196"/>
    </row>
    <row r="18" spans="1:8" ht="18.95" customHeight="1" x14ac:dyDescent="0.25">
      <c r="A18" s="190"/>
      <c r="B18" s="193"/>
      <c r="C18" s="31" t="s">
        <v>26</v>
      </c>
      <c r="D18" s="30" t="s">
        <v>23</v>
      </c>
      <c r="E18" s="30">
        <v>3</v>
      </c>
      <c r="F18" s="196"/>
    </row>
    <row r="19" spans="1:8" ht="18.95" customHeight="1" thickBot="1" x14ac:dyDescent="0.3">
      <c r="A19" s="191"/>
      <c r="B19" s="194"/>
      <c r="C19" s="29" t="s">
        <v>32</v>
      </c>
      <c r="D19" s="28" t="s">
        <v>27</v>
      </c>
      <c r="E19" s="28">
        <v>6</v>
      </c>
      <c r="F19" s="197"/>
    </row>
    <row r="20" spans="1:8" ht="18.95" customHeight="1" x14ac:dyDescent="0.25">
      <c r="A20" s="198">
        <v>5</v>
      </c>
      <c r="B20" s="199" t="s">
        <v>31</v>
      </c>
      <c r="C20" s="122" t="s">
        <v>30</v>
      </c>
      <c r="D20" s="118" t="s">
        <v>23</v>
      </c>
      <c r="E20" s="118">
        <v>6</v>
      </c>
      <c r="F20" s="202">
        <f>SUM(E20:E22)</f>
        <v>18</v>
      </c>
    </row>
    <row r="21" spans="1:8" ht="18.95" customHeight="1" x14ac:dyDescent="0.25">
      <c r="A21" s="198"/>
      <c r="B21" s="200"/>
      <c r="C21" s="121" t="s">
        <v>29</v>
      </c>
      <c r="D21" s="120" t="s">
        <v>27</v>
      </c>
      <c r="E21" s="120">
        <v>7</v>
      </c>
      <c r="F21" s="202"/>
    </row>
    <row r="22" spans="1:8" ht="18.95" customHeight="1" thickBot="1" x14ac:dyDescent="0.3">
      <c r="A22" s="198"/>
      <c r="B22" s="201"/>
      <c r="C22" s="119" t="s">
        <v>28</v>
      </c>
      <c r="D22" s="118" t="s">
        <v>27</v>
      </c>
      <c r="E22" s="117">
        <v>5</v>
      </c>
      <c r="F22" s="202"/>
    </row>
    <row r="23" spans="1:8" ht="36.75" customHeight="1" thickBot="1" x14ac:dyDescent="0.3">
      <c r="A23" s="116">
        <v>6</v>
      </c>
      <c r="B23" s="115" t="s">
        <v>74</v>
      </c>
      <c r="C23" s="114" t="s">
        <v>25</v>
      </c>
      <c r="D23" s="113" t="s">
        <v>23</v>
      </c>
      <c r="E23" s="113">
        <v>6</v>
      </c>
      <c r="F23" s="112">
        <f>SUM(E23)</f>
        <v>6</v>
      </c>
    </row>
    <row r="24" spans="1:8" ht="33.75" customHeight="1" thickBot="1" x14ac:dyDescent="0.3">
      <c r="A24" s="111">
        <v>7</v>
      </c>
      <c r="B24" s="110" t="s">
        <v>90</v>
      </c>
      <c r="C24" s="109" t="s">
        <v>24</v>
      </c>
      <c r="D24" s="108" t="s">
        <v>23</v>
      </c>
      <c r="E24" s="107">
        <v>3</v>
      </c>
      <c r="F24" s="106">
        <v>3</v>
      </c>
      <c r="H24" s="27"/>
    </row>
    <row r="25" spans="1:8" ht="10.5" customHeight="1" x14ac:dyDescent="0.25"/>
    <row r="26" spans="1:8" ht="18" x14ac:dyDescent="0.25">
      <c r="A26" s="25" t="s">
        <v>16</v>
      </c>
    </row>
    <row r="27" spans="1:8" ht="18" x14ac:dyDescent="0.25">
      <c r="A27" s="25" t="s">
        <v>73</v>
      </c>
      <c r="B27" s="25"/>
      <c r="C27" s="25"/>
      <c r="D27" s="25"/>
      <c r="E27" s="25"/>
      <c r="F27" s="26"/>
    </row>
    <row r="28" spans="1:8" ht="10.5" customHeight="1" x14ac:dyDescent="0.25"/>
    <row r="29" spans="1:8" ht="18" x14ac:dyDescent="0.25">
      <c r="A29" s="25" t="s">
        <v>17</v>
      </c>
    </row>
    <row r="30" spans="1:8" ht="18" x14ac:dyDescent="0.25">
      <c r="A30" s="25" t="s">
        <v>72</v>
      </c>
    </row>
    <row r="32" spans="1:8" ht="18" x14ac:dyDescent="0.25">
      <c r="A32" s="25" t="s">
        <v>18</v>
      </c>
    </row>
    <row r="33" spans="1:6" ht="18" x14ac:dyDescent="0.3">
      <c r="A33" s="146" t="s">
        <v>22</v>
      </c>
      <c r="B33" s="147"/>
      <c r="C33" s="147"/>
      <c r="D33" s="147"/>
      <c r="E33" s="147"/>
      <c r="F33" s="147"/>
    </row>
    <row r="37" spans="1:6" x14ac:dyDescent="0.25">
      <c r="B37"/>
    </row>
  </sheetData>
  <mergeCells count="18">
    <mergeCell ref="A15:A19"/>
    <mergeCell ref="B15:B19"/>
    <mergeCell ref="F15:F19"/>
    <mergeCell ref="A20:A22"/>
    <mergeCell ref="B20:B22"/>
    <mergeCell ref="F20:F22"/>
    <mergeCell ref="A8:A11"/>
    <mergeCell ref="B8:B11"/>
    <mergeCell ref="F8:F11"/>
    <mergeCell ref="A12:A14"/>
    <mergeCell ref="B12:B14"/>
    <mergeCell ref="F12:F14"/>
    <mergeCell ref="A1:F1"/>
    <mergeCell ref="A2:G2"/>
    <mergeCell ref="A3:F3"/>
    <mergeCell ref="A6:A7"/>
    <mergeCell ref="B6:B7"/>
    <mergeCell ref="F6:F7"/>
  </mergeCells>
  <pageMargins left="0.11811023622047245" right="0.11811023622047245" top="0.74803149606299213" bottom="0.74803149606299213" header="0.27559055118110237" footer="0.31496062992125984"/>
  <pageSetup paperSize="9" scale="60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88E56-B48E-4566-9201-E343E52F12F8}">
  <dimension ref="A1:G43"/>
  <sheetViews>
    <sheetView view="pageBreakPreview" zoomScale="77" zoomScaleNormal="95" zoomScaleSheetLayoutView="77" workbookViewId="0">
      <selection activeCell="J11" sqref="J11"/>
    </sheetView>
  </sheetViews>
  <sheetFormatPr baseColWidth="10" defaultColWidth="11.42578125" defaultRowHeight="15" x14ac:dyDescent="0.25"/>
  <cols>
    <col min="1" max="1" width="62.28515625" style="23" customWidth="1"/>
    <col min="2" max="2" width="9.140625" style="23" customWidth="1"/>
    <col min="3" max="3" width="8.7109375" style="23" customWidth="1"/>
    <col min="4" max="4" width="9.42578125" style="23" customWidth="1"/>
    <col min="5" max="5" width="11.140625" style="23" customWidth="1"/>
    <col min="6" max="6" width="9" style="23" customWidth="1"/>
    <col min="7" max="7" width="48.5703125" style="23" customWidth="1"/>
    <col min="8" max="16384" width="11.42578125" style="23"/>
  </cols>
  <sheetData>
    <row r="1" spans="1:7" ht="20.25" x14ac:dyDescent="0.25">
      <c r="A1" s="203" t="s">
        <v>52</v>
      </c>
      <c r="B1" s="203"/>
      <c r="C1" s="203"/>
      <c r="D1" s="203"/>
      <c r="E1" s="203"/>
      <c r="F1" s="203"/>
      <c r="G1" s="203"/>
    </row>
    <row r="2" spans="1:7" ht="20.25" x14ac:dyDescent="0.3">
      <c r="A2" s="166" t="s">
        <v>68</v>
      </c>
      <c r="B2" s="166"/>
      <c r="C2" s="166"/>
      <c r="D2" s="166"/>
      <c r="E2" s="166"/>
      <c r="F2" s="166"/>
      <c r="G2" s="166"/>
    </row>
    <row r="3" spans="1:7" ht="20.25" x14ac:dyDescent="0.3">
      <c r="A3" s="206" t="s">
        <v>67</v>
      </c>
      <c r="B3" s="206"/>
      <c r="C3" s="206"/>
      <c r="D3" s="206"/>
      <c r="E3" s="206"/>
      <c r="F3" s="206"/>
      <c r="G3" s="206"/>
    </row>
    <row r="4" spans="1:7" ht="20.25" x14ac:dyDescent="0.3">
      <c r="A4" s="166" t="s">
        <v>83</v>
      </c>
      <c r="B4" s="166"/>
      <c r="C4" s="166"/>
      <c r="D4" s="166"/>
      <c r="E4" s="166"/>
      <c r="F4" s="166"/>
      <c r="G4" s="166"/>
    </row>
    <row r="5" spans="1:7" x14ac:dyDescent="0.25">
      <c r="A5" s="204"/>
      <c r="B5" s="204"/>
      <c r="C5" s="204"/>
      <c r="D5" s="204"/>
      <c r="E5" s="204"/>
      <c r="F5" s="204"/>
      <c r="G5" s="204"/>
    </row>
    <row r="6" spans="1:7" ht="22.5" customHeight="1" x14ac:dyDescent="0.3">
      <c r="A6" s="25" t="s">
        <v>16</v>
      </c>
      <c r="B6" s="25"/>
      <c r="C6" s="25"/>
      <c r="D6" s="25"/>
      <c r="E6" s="25"/>
      <c r="F6" s="25"/>
      <c r="G6" s="61"/>
    </row>
    <row r="7" spans="1:7" ht="18" x14ac:dyDescent="0.25">
      <c r="A7" s="25" t="s">
        <v>73</v>
      </c>
      <c r="B7" s="25"/>
      <c r="C7" s="25"/>
      <c r="D7" s="25"/>
      <c r="E7" s="25"/>
      <c r="F7" s="25"/>
      <c r="G7" s="26"/>
    </row>
    <row r="8" spans="1:7" ht="9" customHeight="1" x14ac:dyDescent="0.25"/>
    <row r="9" spans="1:7" ht="34.5" customHeight="1" x14ac:dyDescent="0.25">
      <c r="A9" s="71" t="s">
        <v>48</v>
      </c>
      <c r="B9" s="55" t="s">
        <v>64</v>
      </c>
      <c r="C9" s="55" t="s">
        <v>63</v>
      </c>
      <c r="D9" s="55" t="s">
        <v>62</v>
      </c>
      <c r="E9" s="55" t="s">
        <v>61</v>
      </c>
      <c r="F9" s="54" t="s">
        <v>60</v>
      </c>
      <c r="G9" s="60" t="s">
        <v>59</v>
      </c>
    </row>
    <row r="10" spans="1:7" ht="18" x14ac:dyDescent="0.25">
      <c r="A10" s="70" t="s">
        <v>39</v>
      </c>
      <c r="B10" s="69">
        <v>16</v>
      </c>
      <c r="C10" s="50">
        <v>64</v>
      </c>
      <c r="D10" s="50">
        <v>5</v>
      </c>
      <c r="E10" s="50">
        <v>80</v>
      </c>
      <c r="F10" s="68">
        <v>3</v>
      </c>
      <c r="G10" s="67" t="s">
        <v>56</v>
      </c>
    </row>
    <row r="11" spans="1:7" ht="26.25" customHeight="1" x14ac:dyDescent="0.3">
      <c r="A11" s="66" t="s">
        <v>84</v>
      </c>
      <c r="B11" s="63">
        <v>32</v>
      </c>
      <c r="C11" s="44">
        <v>64</v>
      </c>
      <c r="D11" s="44">
        <v>6</v>
      </c>
      <c r="E11" s="44">
        <v>96</v>
      </c>
      <c r="F11" s="58">
        <v>4</v>
      </c>
      <c r="G11" s="42" t="s">
        <v>87</v>
      </c>
    </row>
    <row r="12" spans="1:7" ht="20.25" x14ac:dyDescent="0.3">
      <c r="A12" s="57" t="s">
        <v>43</v>
      </c>
      <c r="B12" s="63">
        <v>16</v>
      </c>
      <c r="C12" s="44">
        <v>64</v>
      </c>
      <c r="D12" s="44">
        <v>5</v>
      </c>
      <c r="E12" s="44">
        <v>80</v>
      </c>
      <c r="F12" s="58">
        <v>3</v>
      </c>
      <c r="G12" s="48" t="s">
        <v>57</v>
      </c>
    </row>
    <row r="13" spans="1:7" ht="20.25" x14ac:dyDescent="0.3">
      <c r="A13" s="65" t="s">
        <v>85</v>
      </c>
      <c r="B13" s="63">
        <v>16</v>
      </c>
      <c r="C13" s="44">
        <v>64</v>
      </c>
      <c r="D13" s="44">
        <v>5</v>
      </c>
      <c r="E13" s="44">
        <v>80</v>
      </c>
      <c r="F13" s="58">
        <v>3</v>
      </c>
      <c r="G13" s="42" t="s">
        <v>87</v>
      </c>
    </row>
    <row r="14" spans="1:7" ht="20.25" x14ac:dyDescent="0.3">
      <c r="A14" s="57" t="s">
        <v>86</v>
      </c>
      <c r="B14" s="44">
        <v>16</v>
      </c>
      <c r="C14" s="44">
        <v>32</v>
      </c>
      <c r="D14" s="44">
        <v>3</v>
      </c>
      <c r="E14" s="44">
        <v>48</v>
      </c>
      <c r="F14" s="58">
        <v>2</v>
      </c>
      <c r="G14" s="42" t="s">
        <v>88</v>
      </c>
    </row>
    <row r="15" spans="1:7" ht="20.25" x14ac:dyDescent="0.3">
      <c r="A15" s="64" t="s">
        <v>66</v>
      </c>
      <c r="B15" s="63">
        <v>16</v>
      </c>
      <c r="C15" s="44">
        <v>32</v>
      </c>
      <c r="D15" s="44">
        <v>3</v>
      </c>
      <c r="E15" s="44">
        <v>48</v>
      </c>
      <c r="F15" s="58">
        <v>2</v>
      </c>
      <c r="G15" s="42" t="s">
        <v>88</v>
      </c>
    </row>
    <row r="16" spans="1:7" ht="20.25" x14ac:dyDescent="0.3">
      <c r="A16" s="64" t="s">
        <v>35</v>
      </c>
      <c r="B16" s="63">
        <v>16</v>
      </c>
      <c r="C16" s="44">
        <v>32</v>
      </c>
      <c r="D16" s="44">
        <v>3</v>
      </c>
      <c r="E16" s="44">
        <v>48</v>
      </c>
      <c r="F16" s="58">
        <v>2</v>
      </c>
      <c r="G16" s="48" t="s">
        <v>57</v>
      </c>
    </row>
    <row r="17" spans="1:7" ht="18" x14ac:dyDescent="0.25">
      <c r="A17" s="41" t="s">
        <v>53</v>
      </c>
      <c r="B17" s="40">
        <f>SUM(B10:B16)</f>
        <v>128</v>
      </c>
      <c r="C17" s="40">
        <f>SUM(C10:C16)</f>
        <v>352</v>
      </c>
      <c r="D17" s="40">
        <f>SUM(D10:D16)</f>
        <v>30</v>
      </c>
      <c r="E17" s="40">
        <f>SUM(E10:E16)</f>
        <v>480</v>
      </c>
      <c r="F17" s="40">
        <f>SUM(F10:F16)</f>
        <v>19</v>
      </c>
      <c r="G17" s="25"/>
    </row>
    <row r="18" spans="1:7" ht="18" x14ac:dyDescent="0.25">
      <c r="A18" s="72"/>
      <c r="B18" s="62"/>
      <c r="C18" s="62"/>
      <c r="D18" s="62"/>
      <c r="E18" s="62"/>
      <c r="F18" s="62"/>
      <c r="G18" s="25"/>
    </row>
    <row r="19" spans="1:7" ht="15.75" customHeight="1" x14ac:dyDescent="0.25">
      <c r="A19" s="39"/>
      <c r="B19" s="62"/>
      <c r="C19" s="62"/>
      <c r="D19" s="62"/>
      <c r="E19" s="62"/>
      <c r="F19" s="62"/>
      <c r="G19" s="25"/>
    </row>
    <row r="20" spans="1:7" ht="18" customHeight="1" x14ac:dyDescent="0.3">
      <c r="A20" s="25" t="s">
        <v>17</v>
      </c>
      <c r="B20" s="25"/>
      <c r="C20" s="25"/>
      <c r="D20" s="25"/>
      <c r="E20" s="25"/>
      <c r="F20" s="25"/>
      <c r="G20" s="61"/>
    </row>
    <row r="21" spans="1:7" ht="15" customHeight="1" x14ac:dyDescent="0.25">
      <c r="A21" s="25" t="s">
        <v>65</v>
      </c>
      <c r="B21" s="25"/>
      <c r="C21" s="25"/>
      <c r="D21" s="25"/>
      <c r="E21" s="25"/>
      <c r="F21" s="25"/>
      <c r="G21" s="26"/>
    </row>
    <row r="23" spans="1:7" ht="24" x14ac:dyDescent="0.25">
      <c r="A23" s="56" t="s">
        <v>48</v>
      </c>
      <c r="B23" s="55" t="s">
        <v>64</v>
      </c>
      <c r="C23" s="55" t="s">
        <v>63</v>
      </c>
      <c r="D23" s="55" t="s">
        <v>62</v>
      </c>
      <c r="E23" s="55" t="s">
        <v>61</v>
      </c>
      <c r="F23" s="54" t="s">
        <v>60</v>
      </c>
      <c r="G23" s="60" t="s">
        <v>59</v>
      </c>
    </row>
    <row r="24" spans="1:7" ht="23.25" customHeight="1" x14ac:dyDescent="0.3">
      <c r="A24" s="59" t="s">
        <v>42</v>
      </c>
      <c r="B24" s="44">
        <v>16</v>
      </c>
      <c r="C24" s="44">
        <v>32</v>
      </c>
      <c r="D24" s="44">
        <v>3</v>
      </c>
      <c r="E24" s="44">
        <v>48</v>
      </c>
      <c r="F24" s="58">
        <v>2</v>
      </c>
      <c r="G24" s="48" t="s">
        <v>57</v>
      </c>
    </row>
    <row r="25" spans="1:7" ht="23.25" customHeight="1" x14ac:dyDescent="0.3">
      <c r="A25" s="57" t="s">
        <v>38</v>
      </c>
      <c r="B25" s="44">
        <v>32</v>
      </c>
      <c r="C25" s="44">
        <v>64</v>
      </c>
      <c r="D25" s="44">
        <v>6</v>
      </c>
      <c r="E25" s="44">
        <v>96</v>
      </c>
      <c r="F25" s="58">
        <v>4</v>
      </c>
      <c r="G25" s="42" t="s">
        <v>56</v>
      </c>
    </row>
    <row r="26" spans="1:7" ht="20.25" x14ac:dyDescent="0.3">
      <c r="A26" s="57" t="s">
        <v>25</v>
      </c>
      <c r="B26" s="44">
        <v>32</v>
      </c>
      <c r="C26" s="44">
        <v>64</v>
      </c>
      <c r="D26" s="44">
        <v>6</v>
      </c>
      <c r="E26" s="44">
        <v>96</v>
      </c>
      <c r="F26" s="58">
        <v>4</v>
      </c>
      <c r="G26" s="46" t="s">
        <v>58</v>
      </c>
    </row>
    <row r="27" spans="1:7" ht="16.5" customHeight="1" x14ac:dyDescent="0.3">
      <c r="A27" s="57" t="s">
        <v>30</v>
      </c>
      <c r="B27" s="44">
        <v>32</v>
      </c>
      <c r="C27" s="44">
        <v>64</v>
      </c>
      <c r="D27" s="44">
        <v>6</v>
      </c>
      <c r="E27" s="44">
        <v>96</v>
      </c>
      <c r="F27" s="58">
        <v>4</v>
      </c>
      <c r="G27" s="42" t="s">
        <v>54</v>
      </c>
    </row>
    <row r="28" spans="1:7" ht="16.5" customHeight="1" x14ac:dyDescent="0.3">
      <c r="A28" s="57" t="s">
        <v>26</v>
      </c>
      <c r="B28" s="44">
        <v>16</v>
      </c>
      <c r="C28" s="44">
        <v>32</v>
      </c>
      <c r="D28" s="44">
        <v>3</v>
      </c>
      <c r="E28" s="44">
        <v>48</v>
      </c>
      <c r="F28" s="58">
        <v>2</v>
      </c>
      <c r="G28" s="48" t="s">
        <v>57</v>
      </c>
    </row>
    <row r="29" spans="1:7" ht="16.5" customHeight="1" x14ac:dyDescent="0.3">
      <c r="A29" s="57" t="s">
        <v>24</v>
      </c>
      <c r="B29" s="44">
        <v>16</v>
      </c>
      <c r="C29" s="44">
        <v>32</v>
      </c>
      <c r="D29" s="44">
        <v>3</v>
      </c>
      <c r="E29" s="44">
        <v>48</v>
      </c>
      <c r="F29" s="58">
        <v>2</v>
      </c>
      <c r="G29" s="42" t="s">
        <v>89</v>
      </c>
    </row>
    <row r="30" spans="1:7" ht="16.5" customHeight="1" x14ac:dyDescent="0.3">
      <c r="A30" s="57" t="s">
        <v>33</v>
      </c>
      <c r="B30" s="44">
        <v>16</v>
      </c>
      <c r="C30" s="44">
        <v>32</v>
      </c>
      <c r="D30" s="44">
        <v>3</v>
      </c>
      <c r="E30" s="44">
        <v>48</v>
      </c>
      <c r="F30" s="44">
        <v>2</v>
      </c>
      <c r="G30" s="42" t="s">
        <v>87</v>
      </c>
    </row>
    <row r="31" spans="1:7" ht="18" x14ac:dyDescent="0.25">
      <c r="A31" s="41" t="s">
        <v>53</v>
      </c>
      <c r="B31" s="40">
        <f>SUM(B24:B30)</f>
        <v>160</v>
      </c>
      <c r="C31" s="40">
        <f>SUM(C24:C30)</f>
        <v>320</v>
      </c>
      <c r="D31" s="40">
        <f>SUM(D24:D30)</f>
        <v>30</v>
      </c>
      <c r="E31" s="40">
        <f>SUM(E24:E30)</f>
        <v>480</v>
      </c>
      <c r="F31" s="40">
        <f>SUM(F24:F30)</f>
        <v>20</v>
      </c>
      <c r="G31" s="25"/>
    </row>
    <row r="33" spans="1:7" ht="18" x14ac:dyDescent="0.25">
      <c r="A33" s="25" t="s">
        <v>18</v>
      </c>
      <c r="B33" s="25"/>
      <c r="C33" s="25"/>
      <c r="D33" s="25"/>
      <c r="E33" s="25"/>
      <c r="F33" s="25"/>
    </row>
    <row r="34" spans="1:7" ht="18" x14ac:dyDescent="0.25">
      <c r="A34" s="24" t="s">
        <v>22</v>
      </c>
      <c r="B34" s="25"/>
      <c r="C34" s="25"/>
      <c r="D34" s="25"/>
      <c r="E34" s="25"/>
      <c r="F34" s="25"/>
      <c r="G34" s="26"/>
    </row>
    <row r="35" spans="1:7" x14ac:dyDescent="0.25">
      <c r="A35" s="205"/>
      <c r="B35" s="205"/>
      <c r="C35" s="205"/>
      <c r="D35" s="205"/>
      <c r="E35" s="205"/>
      <c r="F35" s="205"/>
      <c r="G35" s="205"/>
    </row>
    <row r="36" spans="1:7" ht="24" x14ac:dyDescent="0.25">
      <c r="A36" s="56" t="s">
        <v>48</v>
      </c>
      <c r="B36" s="55" t="s">
        <v>64</v>
      </c>
      <c r="C36" s="55" t="s">
        <v>63</v>
      </c>
      <c r="D36" s="55" t="s">
        <v>62</v>
      </c>
      <c r="E36" s="55" t="s">
        <v>61</v>
      </c>
      <c r="F36" s="54" t="s">
        <v>60</v>
      </c>
      <c r="G36" s="53" t="s">
        <v>59</v>
      </c>
    </row>
    <row r="37" spans="1:7" ht="20.25" x14ac:dyDescent="0.25">
      <c r="A37" s="52" t="s">
        <v>41</v>
      </c>
      <c r="B37" s="50">
        <v>16</v>
      </c>
      <c r="C37" s="50">
        <v>64</v>
      </c>
      <c r="D37" s="51">
        <v>5</v>
      </c>
      <c r="E37" s="50">
        <v>80</v>
      </c>
      <c r="F37" s="49">
        <v>3</v>
      </c>
      <c r="G37" s="42" t="s">
        <v>87</v>
      </c>
    </row>
    <row r="38" spans="1:7" ht="20.25" x14ac:dyDescent="0.3">
      <c r="A38" s="45" t="s">
        <v>32</v>
      </c>
      <c r="B38" s="44">
        <v>32</v>
      </c>
      <c r="C38" s="44">
        <v>64</v>
      </c>
      <c r="D38" s="43">
        <v>6</v>
      </c>
      <c r="E38" s="44">
        <v>96</v>
      </c>
      <c r="F38" s="43">
        <v>4</v>
      </c>
      <c r="G38" s="48" t="s">
        <v>57</v>
      </c>
    </row>
    <row r="39" spans="1:7" ht="20.25" x14ac:dyDescent="0.3">
      <c r="A39" s="45" t="s">
        <v>29</v>
      </c>
      <c r="B39" s="44">
        <v>16</v>
      </c>
      <c r="C39" s="44">
        <v>96</v>
      </c>
      <c r="D39" s="43">
        <v>7</v>
      </c>
      <c r="E39" s="44">
        <v>112</v>
      </c>
      <c r="F39" s="47">
        <v>4</v>
      </c>
      <c r="G39" s="42" t="s">
        <v>54</v>
      </c>
    </row>
    <row r="40" spans="1:7" ht="20.25" x14ac:dyDescent="0.3">
      <c r="A40" s="45" t="s">
        <v>37</v>
      </c>
      <c r="B40" s="44">
        <v>16</v>
      </c>
      <c r="C40" s="44">
        <v>96</v>
      </c>
      <c r="D40" s="43">
        <v>7</v>
      </c>
      <c r="E40" s="44">
        <v>112</v>
      </c>
      <c r="F40" s="43">
        <v>4</v>
      </c>
      <c r="G40" s="46" t="s">
        <v>56</v>
      </c>
    </row>
    <row r="41" spans="1:7" ht="20.25" x14ac:dyDescent="0.3">
      <c r="A41" s="45" t="s">
        <v>55</v>
      </c>
      <c r="B41" s="44">
        <v>16</v>
      </c>
      <c r="C41" s="44">
        <v>64</v>
      </c>
      <c r="D41" s="43">
        <v>5</v>
      </c>
      <c r="E41" s="44">
        <v>80</v>
      </c>
      <c r="F41" s="43">
        <v>3</v>
      </c>
      <c r="G41" s="42" t="s">
        <v>54</v>
      </c>
    </row>
    <row r="42" spans="1:7" ht="18" x14ac:dyDescent="0.25">
      <c r="A42" s="41" t="s">
        <v>53</v>
      </c>
      <c r="B42" s="40">
        <f>SUM(B37:B41)</f>
        <v>96</v>
      </c>
      <c r="C42" s="40">
        <f>SUM(C37:C41)</f>
        <v>384</v>
      </c>
      <c r="D42" s="40">
        <f>SUM(D37:D41)</f>
        <v>30</v>
      </c>
      <c r="E42" s="40">
        <f>SUM(E37:E41)</f>
        <v>480</v>
      </c>
      <c r="F42" s="40">
        <f>SUM(F37:F41)</f>
        <v>18</v>
      </c>
      <c r="G42" s="25"/>
    </row>
    <row r="43" spans="1:7" ht="18" x14ac:dyDescent="0.25">
      <c r="A43" s="39"/>
      <c r="B43" s="25"/>
      <c r="C43" s="25"/>
      <c r="D43" s="25"/>
      <c r="E43" s="25"/>
      <c r="F43" s="25"/>
      <c r="G43" s="25"/>
    </row>
  </sheetData>
  <mergeCells count="6">
    <mergeCell ref="A1:G1"/>
    <mergeCell ref="A5:G5"/>
    <mergeCell ref="A35:G35"/>
    <mergeCell ref="A2:G2"/>
    <mergeCell ref="A3:G3"/>
    <mergeCell ref="A4:G4"/>
  </mergeCells>
  <conditionalFormatting sqref="A10">
    <cfRule type="cellIs" dxfId="2" priority="4" operator="equal">
      <formula>0</formula>
    </cfRule>
  </conditionalFormatting>
  <conditionalFormatting sqref="A13">
    <cfRule type="cellIs" dxfId="1" priority="5" operator="equal">
      <formula>0</formula>
    </cfRule>
  </conditionalFormatting>
  <conditionalFormatting sqref="A39">
    <cfRule type="cellIs" dxfId="0" priority="3" operator="equal">
      <formula>0</formula>
    </cfRule>
  </conditionalFormatting>
  <pageMargins left="0.11811023622047245" right="0.11811023622047245" top="0.23622047244094491" bottom="0.23622047244094491" header="0.19685039370078741" footer="0.23622047244094491"/>
  <pageSetup paperSize="9" scale="6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I CICLO</vt:lpstr>
      <vt:lpstr>III CICLO</vt:lpstr>
      <vt:lpstr>V CICLO</vt:lpstr>
      <vt:lpstr>ANEXO 1</vt:lpstr>
      <vt:lpstr>ANEXO 2</vt:lpstr>
      <vt:lpstr>'ANEXO 2'!Área_de_impresión</vt:lpstr>
      <vt:lpstr>'I CICLO'!Área_de_impresión</vt:lpstr>
      <vt:lpstr>'III CICLO'!Área_de_impresión</vt:lpstr>
      <vt:lpstr>'V CICLO'!Área_de_impresión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SecretariadO</dc:creator>
  <cp:lastModifiedBy>User</cp:lastModifiedBy>
  <cp:lastPrinted>2026-04-17T22:03:23Z</cp:lastPrinted>
  <dcterms:created xsi:type="dcterms:W3CDTF">2015-05-27T17:00:04Z</dcterms:created>
  <dcterms:modified xsi:type="dcterms:W3CDTF">2026-06-04T00:31:37Z</dcterms:modified>
</cp:coreProperties>
</file>